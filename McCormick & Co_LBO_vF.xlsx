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ko\Desktop\IB Work\LBO's\"/>
    </mc:Choice>
  </mc:AlternateContent>
  <xr:revisionPtr revIDLastSave="0" documentId="13_ncr:1_{B6545252-A4EC-4007-B559-3E87CE82D2E3}" xr6:coauthVersionLast="47" xr6:coauthVersionMax="47" xr10:uidLastSave="{00000000-0000-0000-0000-000000000000}"/>
  <bookViews>
    <workbookView xWindow="-120" yWindow="-120" windowWidth="29040" windowHeight="15840" xr2:uid="{E1CD5C47-7D5C-4211-AD36-594309E6E4A5}"/>
  </bookViews>
  <sheets>
    <sheet name="LBO" sheetId="2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1" i="2" l="1"/>
  <c r="I71" i="2" s="1"/>
  <c r="J71" i="2" s="1"/>
  <c r="K71" i="2" s="1"/>
  <c r="G71" i="2"/>
  <c r="H96" i="2"/>
  <c r="I96" i="2"/>
  <c r="J96" i="2"/>
  <c r="K96" i="2"/>
  <c r="G96" i="2"/>
  <c r="H68" i="2"/>
  <c r="I68" i="2" s="1"/>
  <c r="J68" i="2" s="1"/>
  <c r="K68" i="2" s="1"/>
  <c r="G68" i="2"/>
  <c r="G143" i="2"/>
  <c r="G125" i="2"/>
  <c r="E138" i="2"/>
  <c r="G135" i="2" s="1"/>
  <c r="F180" i="2"/>
  <c r="G55" i="2" l="1"/>
  <c r="H55" i="2"/>
  <c r="I55" i="2"/>
  <c r="J55" i="2"/>
  <c r="K55" i="2"/>
  <c r="B205" i="2"/>
  <c r="B206" i="2" s="1"/>
  <c r="B204" i="2"/>
  <c r="B202" i="2"/>
  <c r="B201" i="2" s="1"/>
  <c r="F200" i="2"/>
  <c r="G200" i="2" s="1"/>
  <c r="H200" i="2" s="1"/>
  <c r="D200" i="2"/>
  <c r="C200" i="2" s="1"/>
  <c r="F190" i="2"/>
  <c r="G190" i="2" s="1"/>
  <c r="H190" i="2" s="1"/>
  <c r="D190" i="2"/>
  <c r="C190" i="2" s="1"/>
  <c r="B194" i="2"/>
  <c r="B195" i="2" s="1"/>
  <c r="B196" i="2" s="1"/>
  <c r="B192" i="2"/>
  <c r="B191" i="2"/>
  <c r="G180" i="2"/>
  <c r="H180" i="2" s="1"/>
  <c r="I180" i="2" s="1"/>
  <c r="J180" i="2" s="1"/>
  <c r="K180" i="2" s="1"/>
  <c r="G169" i="2"/>
  <c r="H169" i="2"/>
  <c r="I169" i="2"/>
  <c r="J169" i="2"/>
  <c r="K169" i="2"/>
  <c r="I63" i="2"/>
  <c r="J63" i="2" s="1"/>
  <c r="K63" i="2" s="1"/>
  <c r="H62" i="2"/>
  <c r="I62" i="2" s="1"/>
  <c r="J62" i="2" s="1"/>
  <c r="K62" i="2" s="1"/>
  <c r="G158" i="2"/>
  <c r="H158" i="2"/>
  <c r="I158" i="2"/>
  <c r="J158" i="2"/>
  <c r="K158" i="2"/>
  <c r="G149" i="2"/>
  <c r="H149" i="2"/>
  <c r="I149" i="2"/>
  <c r="J149" i="2"/>
  <c r="K149" i="2"/>
  <c r="G146" i="2"/>
  <c r="H146" i="2"/>
  <c r="I146" i="2"/>
  <c r="J146" i="2"/>
  <c r="K146" i="2"/>
  <c r="G139" i="2"/>
  <c r="H139" i="2"/>
  <c r="I139" i="2"/>
  <c r="J139" i="2"/>
  <c r="K139" i="2"/>
  <c r="G132" i="2"/>
  <c r="H125" i="2"/>
  <c r="H132" i="2" s="1"/>
  <c r="I125" i="2"/>
  <c r="I132" i="2" s="1"/>
  <c r="J125" i="2"/>
  <c r="J132" i="2" s="1"/>
  <c r="K125" i="2"/>
  <c r="K132" i="2" s="1"/>
  <c r="G45" i="2"/>
  <c r="G48" i="2" s="1"/>
  <c r="K94" i="2"/>
  <c r="J94" i="2"/>
  <c r="I94" i="2"/>
  <c r="H94" i="2"/>
  <c r="G94" i="2"/>
  <c r="K105" i="2"/>
  <c r="J105" i="2"/>
  <c r="I105" i="2"/>
  <c r="H105" i="2"/>
  <c r="G105" i="2"/>
  <c r="E90" i="2"/>
  <c r="E89" i="2"/>
  <c r="G40" i="2"/>
  <c r="F92" i="2"/>
  <c r="G92" i="2" s="1"/>
  <c r="H92" i="2" s="1"/>
  <c r="I92" i="2" s="1"/>
  <c r="J92" i="2" s="1"/>
  <c r="K92" i="2" s="1"/>
  <c r="F79" i="2"/>
  <c r="F83" i="2"/>
  <c r="F72" i="2"/>
  <c r="M80" i="2"/>
  <c r="P75" i="2"/>
  <c r="F75" i="2" s="1"/>
  <c r="F90" i="2" s="1"/>
  <c r="G90" i="2" s="1"/>
  <c r="M73" i="2"/>
  <c r="O69" i="2"/>
  <c r="E16" i="2"/>
  <c r="E38" i="2"/>
  <c r="P68" i="2"/>
  <c r="F68" i="2" s="1"/>
  <c r="P67" i="2"/>
  <c r="F67" i="2" s="1"/>
  <c r="F89" i="2" s="1"/>
  <c r="G89" i="2" s="1"/>
  <c r="N66" i="2"/>
  <c r="P66" i="2" s="1"/>
  <c r="F66" i="2" s="1"/>
  <c r="E83" i="2"/>
  <c r="E79" i="2"/>
  <c r="E72" i="2"/>
  <c r="E73" i="2" s="1"/>
  <c r="E86" i="2" s="1"/>
  <c r="M82" i="2" l="1"/>
  <c r="E37" i="2" s="1"/>
  <c r="G47" i="2"/>
  <c r="G46" i="2" s="1"/>
  <c r="G75" i="2" s="1"/>
  <c r="G101" i="2" s="1"/>
  <c r="G67" i="2"/>
  <c r="G100" i="2" s="1"/>
  <c r="H89" i="2"/>
  <c r="H90" i="2"/>
  <c r="H45" i="2"/>
  <c r="M84" i="2" l="1"/>
  <c r="M86" i="2" s="1"/>
  <c r="I90" i="2"/>
  <c r="I45" i="2"/>
  <c r="I89" i="2"/>
  <c r="H67" i="2"/>
  <c r="F65" i="2"/>
  <c r="G65" i="2" s="1"/>
  <c r="H65" i="2" s="1"/>
  <c r="I65" i="2" s="1"/>
  <c r="J65" i="2" s="1"/>
  <c r="K65" i="2" s="1"/>
  <c r="J31" i="2"/>
  <c r="G49" i="2"/>
  <c r="G157" i="2" s="1"/>
  <c r="G159" i="2" s="1"/>
  <c r="E48" i="2"/>
  <c r="E47" i="2"/>
  <c r="E49" i="2" s="1"/>
  <c r="F48" i="2"/>
  <c r="F47" i="2"/>
  <c r="F44" i="2"/>
  <c r="G44" i="2" s="1"/>
  <c r="H44" i="2" s="1"/>
  <c r="I44" i="2" s="1"/>
  <c r="J44" i="2" s="1"/>
  <c r="K44" i="2" s="1"/>
  <c r="G41" i="2"/>
  <c r="G23" i="2"/>
  <c r="G22" i="2"/>
  <c r="C24" i="2"/>
  <c r="H47" i="2" l="1"/>
  <c r="H46" i="2" s="1"/>
  <c r="H75" i="2" s="1"/>
  <c r="H101" i="2" s="1"/>
  <c r="J89" i="2"/>
  <c r="I67" i="2"/>
  <c r="I100" i="2" s="1"/>
  <c r="H48" i="2"/>
  <c r="I47" i="2"/>
  <c r="I48" i="2"/>
  <c r="J45" i="2"/>
  <c r="H100" i="2"/>
  <c r="J90" i="2"/>
  <c r="F49" i="2"/>
  <c r="E17" i="2" l="1"/>
  <c r="D23" i="2" s="1"/>
  <c r="E29" i="2" s="1"/>
  <c r="I49" i="2"/>
  <c r="I157" i="2" s="1"/>
  <c r="I159" i="2" s="1"/>
  <c r="H49" i="2"/>
  <c r="H157" i="2" s="1"/>
  <c r="H159" i="2" s="1"/>
  <c r="K90" i="2"/>
  <c r="J47" i="2"/>
  <c r="J46" i="2" s="1"/>
  <c r="J75" i="2" s="1"/>
  <c r="J48" i="2"/>
  <c r="K45" i="2"/>
  <c r="I46" i="2"/>
  <c r="I75" i="2" s="1"/>
  <c r="I101" i="2" s="1"/>
  <c r="K89" i="2"/>
  <c r="J67" i="2"/>
  <c r="D22" i="2" l="1"/>
  <c r="E28" i="2" s="1"/>
  <c r="E18" i="2"/>
  <c r="J29" i="2" s="1"/>
  <c r="N82" i="2" s="1"/>
  <c r="F23" i="2"/>
  <c r="H23" i="2" s="1"/>
  <c r="K67" i="2"/>
  <c r="K100" i="2" s="1"/>
  <c r="J101" i="2"/>
  <c r="J100" i="2"/>
  <c r="K47" i="2"/>
  <c r="K46" i="2" s="1"/>
  <c r="K75" i="2" s="1"/>
  <c r="K101" i="2" s="1"/>
  <c r="K48" i="2"/>
  <c r="J49" i="2"/>
  <c r="J157" i="2" s="1"/>
  <c r="J159" i="2" s="1"/>
  <c r="O78" i="2"/>
  <c r="P78" i="2" s="1"/>
  <c r="F78" i="2" s="1"/>
  <c r="E145" i="2"/>
  <c r="F22" i="2"/>
  <c r="H22" i="2" s="1"/>
  <c r="E30" i="2"/>
  <c r="O77" i="2"/>
  <c r="P77" i="2" s="1"/>
  <c r="F77" i="2" s="1"/>
  <c r="J28" i="2" l="1"/>
  <c r="E36" i="2" s="1"/>
  <c r="E39" i="2" s="1"/>
  <c r="E40" i="2" s="1"/>
  <c r="H40" i="2" s="1"/>
  <c r="E32" i="2"/>
  <c r="H24" i="2"/>
  <c r="K49" i="2"/>
  <c r="K157" i="2" s="1"/>
  <c r="K159" i="2" s="1"/>
  <c r="G144" i="2"/>
  <c r="F54" i="2"/>
  <c r="F24" i="2"/>
  <c r="J30" i="2" s="1"/>
  <c r="N71" i="2" s="1"/>
  <c r="P71" i="2" s="1"/>
  <c r="F71" i="2" s="1"/>
  <c r="K167" i="2" l="1"/>
  <c r="J167" i="2"/>
  <c r="I167" i="2"/>
  <c r="H167" i="2"/>
  <c r="G167" i="2"/>
  <c r="N70" i="2"/>
  <c r="P70" i="2" s="1"/>
  <c r="F70" i="2" s="1"/>
  <c r="E41" i="2"/>
  <c r="O76" i="2" s="1"/>
  <c r="P76" i="2" s="1"/>
  <c r="P80" i="2" s="1"/>
  <c r="G78" i="2"/>
  <c r="G97" i="2"/>
  <c r="J33" i="2"/>
  <c r="E33" i="2" s="1"/>
  <c r="E31" i="2" s="1"/>
  <c r="G145" i="2"/>
  <c r="H143" i="2" s="1"/>
  <c r="G152" i="2"/>
  <c r="G54" i="2" s="1"/>
  <c r="H51" i="2"/>
  <c r="G51" i="2"/>
  <c r="I51" i="2"/>
  <c r="J51" i="2"/>
  <c r="K51" i="2"/>
  <c r="K52" i="2" l="1"/>
  <c r="K95" i="2"/>
  <c r="G52" i="2"/>
  <c r="G95" i="2"/>
  <c r="I52" i="2"/>
  <c r="I95" i="2"/>
  <c r="H52" i="2"/>
  <c r="H95" i="2"/>
  <c r="J52" i="2"/>
  <c r="J95" i="2"/>
  <c r="H41" i="2"/>
  <c r="G98" i="2" s="1"/>
  <c r="E42" i="2"/>
  <c r="N69" i="2" s="1"/>
  <c r="P69" i="2" s="1"/>
  <c r="F69" i="2" s="1"/>
  <c r="G69" i="2" s="1"/>
  <c r="F76" i="2"/>
  <c r="F80" i="2" s="1"/>
  <c r="O82" i="2"/>
  <c r="P82" i="2" s="1"/>
  <c r="F82" i="2" s="1"/>
  <c r="F181" i="2"/>
  <c r="H173" i="2"/>
  <c r="J173" i="2"/>
  <c r="K173" i="2"/>
  <c r="G173" i="2"/>
  <c r="I173" i="2"/>
  <c r="H174" i="2"/>
  <c r="K174" i="2"/>
  <c r="J174" i="2"/>
  <c r="I174" i="2"/>
  <c r="G174" i="2"/>
  <c r="F52" i="2"/>
  <c r="H144" i="2"/>
  <c r="H97" i="2" s="1"/>
  <c r="G76" i="2" l="1"/>
  <c r="K98" i="2"/>
  <c r="J98" i="2"/>
  <c r="I98" i="2"/>
  <c r="H98" i="2"/>
  <c r="P73" i="2"/>
  <c r="F84" i="2"/>
  <c r="P84" i="2"/>
  <c r="G70" i="2"/>
  <c r="H152" i="2"/>
  <c r="H54" i="2" s="1"/>
  <c r="H78" i="2"/>
  <c r="H145" i="2"/>
  <c r="I143" i="2" s="1"/>
  <c r="I144" i="2" s="1"/>
  <c r="I97" i="2" s="1"/>
  <c r="F73" i="2"/>
  <c r="H69" i="2"/>
  <c r="I69" i="2" s="1"/>
  <c r="J69" i="2" s="1"/>
  <c r="K69" i="2" s="1"/>
  <c r="H76" i="2" l="1"/>
  <c r="I76" i="2" s="1"/>
  <c r="J76" i="2" s="1"/>
  <c r="K76" i="2" s="1"/>
  <c r="P86" i="2"/>
  <c r="F86" i="2"/>
  <c r="H70" i="2"/>
  <c r="I70" i="2" s="1"/>
  <c r="J70" i="2" s="1"/>
  <c r="K70" i="2" s="1"/>
  <c r="I78" i="2"/>
  <c r="I145" i="2"/>
  <c r="J143" i="2" s="1"/>
  <c r="J144" i="2" s="1"/>
  <c r="J97" i="2" s="1"/>
  <c r="I152" i="2"/>
  <c r="I54" i="2" s="1"/>
  <c r="J78" i="2" l="1"/>
  <c r="J145" i="2"/>
  <c r="K143" i="2" s="1"/>
  <c r="K144" i="2" s="1"/>
  <c r="K97" i="2" s="1"/>
  <c r="J152" i="2"/>
  <c r="J54" i="2" s="1"/>
  <c r="K78" i="2" l="1"/>
  <c r="K145" i="2"/>
  <c r="K152" i="2"/>
  <c r="K54" i="2" s="1"/>
  <c r="F53" i="2" l="1"/>
  <c r="F56" i="2" s="1"/>
  <c r="G136" i="2"/>
  <c r="F57" i="2" l="1"/>
  <c r="F58" i="2" s="1"/>
  <c r="G117" i="2"/>
  <c r="G53" i="2"/>
  <c r="H53" i="2"/>
  <c r="I53" i="2"/>
  <c r="J53" i="2"/>
  <c r="K53" i="2"/>
  <c r="G56" i="2"/>
  <c r="H56" i="2"/>
  <c r="I56" i="2"/>
  <c r="J56" i="2"/>
  <c r="K56" i="2"/>
  <c r="G57" i="2"/>
  <c r="H57" i="2"/>
  <c r="I57" i="2"/>
  <c r="J57" i="2"/>
  <c r="K57" i="2"/>
  <c r="G58" i="2"/>
  <c r="H58" i="2"/>
  <c r="I58" i="2"/>
  <c r="J58" i="2"/>
  <c r="K58" i="2"/>
  <c r="G66" i="2"/>
  <c r="H66" i="2"/>
  <c r="I66" i="2"/>
  <c r="J66" i="2"/>
  <c r="K66" i="2"/>
  <c r="G73" i="2"/>
  <c r="H73" i="2"/>
  <c r="I73" i="2"/>
  <c r="J73" i="2"/>
  <c r="K73" i="2"/>
  <c r="G77" i="2"/>
  <c r="H77" i="2"/>
  <c r="I77" i="2"/>
  <c r="J77" i="2"/>
  <c r="K77" i="2"/>
  <c r="G80" i="2"/>
  <c r="H80" i="2"/>
  <c r="I80" i="2"/>
  <c r="J80" i="2"/>
  <c r="K80" i="2"/>
  <c r="G82" i="2"/>
  <c r="H82" i="2"/>
  <c r="I82" i="2"/>
  <c r="J82" i="2"/>
  <c r="K82" i="2"/>
  <c r="G84" i="2"/>
  <c r="H84" i="2"/>
  <c r="I84" i="2"/>
  <c r="J84" i="2"/>
  <c r="K84" i="2"/>
  <c r="G86" i="2"/>
  <c r="H86" i="2"/>
  <c r="I86" i="2"/>
  <c r="J86" i="2"/>
  <c r="K86" i="2"/>
  <c r="G93" i="2"/>
  <c r="H93" i="2"/>
  <c r="I93" i="2"/>
  <c r="J93" i="2"/>
  <c r="K93" i="2"/>
  <c r="G102" i="2"/>
  <c r="H102" i="2"/>
  <c r="I102" i="2"/>
  <c r="J102" i="2"/>
  <c r="K102" i="2"/>
  <c r="G108" i="2"/>
  <c r="H108" i="2"/>
  <c r="I108" i="2"/>
  <c r="J108" i="2"/>
  <c r="K108" i="2"/>
  <c r="G109" i="2"/>
  <c r="H109" i="2"/>
  <c r="I109" i="2"/>
  <c r="J109" i="2"/>
  <c r="K109" i="2"/>
  <c r="G110" i="2"/>
  <c r="H110" i="2"/>
  <c r="I110" i="2"/>
  <c r="J110" i="2"/>
  <c r="K110" i="2"/>
  <c r="G112" i="2"/>
  <c r="H112" i="2"/>
  <c r="I112" i="2"/>
  <c r="J112" i="2"/>
  <c r="K112" i="2"/>
  <c r="G116" i="2"/>
  <c r="H116" i="2"/>
  <c r="I116" i="2"/>
  <c r="J116" i="2"/>
  <c r="K116" i="2"/>
  <c r="H117" i="2"/>
  <c r="I117" i="2"/>
  <c r="J117" i="2"/>
  <c r="K117" i="2"/>
  <c r="G118" i="2"/>
  <c r="H118" i="2"/>
  <c r="I118" i="2"/>
  <c r="J118" i="2"/>
  <c r="K118" i="2"/>
  <c r="G119" i="2"/>
  <c r="H119" i="2"/>
  <c r="I119" i="2"/>
  <c r="J119" i="2"/>
  <c r="K119" i="2"/>
  <c r="G120" i="2"/>
  <c r="H120" i="2"/>
  <c r="I120" i="2"/>
  <c r="J120" i="2"/>
  <c r="K120" i="2"/>
  <c r="G121" i="2"/>
  <c r="H121" i="2"/>
  <c r="I121" i="2"/>
  <c r="J121" i="2"/>
  <c r="K121" i="2"/>
  <c r="G122" i="2"/>
  <c r="H122" i="2"/>
  <c r="I122" i="2"/>
  <c r="J122" i="2"/>
  <c r="K122" i="2"/>
  <c r="G124" i="2"/>
  <c r="H124" i="2"/>
  <c r="I124" i="2"/>
  <c r="J124" i="2"/>
  <c r="K124" i="2"/>
  <c r="G126" i="2"/>
  <c r="H126" i="2"/>
  <c r="I126" i="2"/>
  <c r="J126" i="2"/>
  <c r="K126" i="2"/>
  <c r="G134" i="2"/>
  <c r="H134" i="2"/>
  <c r="I134" i="2"/>
  <c r="J134" i="2"/>
  <c r="K134" i="2"/>
  <c r="H135" i="2"/>
  <c r="I135" i="2"/>
  <c r="J135" i="2"/>
  <c r="K135" i="2"/>
  <c r="H136" i="2"/>
  <c r="I136" i="2"/>
  <c r="J136" i="2"/>
  <c r="K136" i="2"/>
  <c r="G137" i="2"/>
  <c r="H137" i="2"/>
  <c r="I137" i="2"/>
  <c r="J137" i="2"/>
  <c r="K137" i="2"/>
  <c r="G138" i="2"/>
  <c r="H138" i="2"/>
  <c r="I138" i="2"/>
  <c r="J138" i="2"/>
  <c r="K138" i="2"/>
  <c r="G140" i="2"/>
  <c r="H140" i="2"/>
  <c r="I140" i="2"/>
  <c r="J140" i="2"/>
  <c r="K140" i="2"/>
  <c r="G150" i="2"/>
  <c r="H150" i="2"/>
  <c r="I150" i="2"/>
  <c r="J150" i="2"/>
  <c r="K150" i="2"/>
  <c r="G151" i="2"/>
  <c r="H151" i="2"/>
  <c r="I151" i="2"/>
  <c r="J151" i="2"/>
  <c r="K151" i="2"/>
  <c r="G153" i="2"/>
  <c r="H153" i="2"/>
  <c r="I153" i="2"/>
  <c r="J153" i="2"/>
  <c r="K153" i="2"/>
  <c r="G160" i="2"/>
  <c r="H160" i="2"/>
  <c r="I160" i="2"/>
  <c r="J160" i="2"/>
  <c r="K160" i="2"/>
  <c r="G161" i="2"/>
  <c r="H161" i="2"/>
  <c r="I161" i="2"/>
  <c r="J161" i="2"/>
  <c r="K161" i="2"/>
  <c r="G162" i="2"/>
  <c r="H162" i="2"/>
  <c r="I162" i="2"/>
  <c r="J162" i="2"/>
  <c r="K162" i="2"/>
  <c r="G165" i="2"/>
  <c r="H165" i="2"/>
  <c r="I165" i="2"/>
  <c r="J165" i="2"/>
  <c r="K165" i="2"/>
  <c r="G166" i="2"/>
  <c r="H166" i="2"/>
  <c r="I166" i="2"/>
  <c r="J166" i="2"/>
  <c r="K166" i="2"/>
  <c r="G168" i="2"/>
  <c r="H168" i="2"/>
  <c r="I168" i="2"/>
  <c r="J168" i="2"/>
  <c r="K168" i="2"/>
  <c r="G170" i="2"/>
  <c r="H170" i="2"/>
  <c r="I170" i="2"/>
  <c r="J170" i="2"/>
  <c r="K170" i="2"/>
  <c r="G172" i="2"/>
  <c r="H172" i="2"/>
  <c r="I172" i="2"/>
  <c r="J172" i="2"/>
  <c r="K172" i="2"/>
  <c r="G176" i="2"/>
  <c r="H176" i="2"/>
  <c r="I176" i="2"/>
  <c r="J176" i="2"/>
  <c r="K176" i="2"/>
  <c r="G177" i="2"/>
  <c r="H177" i="2"/>
  <c r="I177" i="2"/>
  <c r="J177" i="2"/>
  <c r="K177" i="2"/>
  <c r="K181" i="2"/>
  <c r="F183" i="2"/>
  <c r="F184" i="2"/>
  <c r="B190" i="2"/>
  <c r="B20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Môj PC</author>
  </authors>
  <commentList>
    <comment ref="F50" authorId="0" shapeId="0" xr:uid="{56122B1F-E30A-499D-91E8-D2AA7639B0D3}">
      <text>
        <r>
          <rPr>
            <b/>
            <sz val="9"/>
            <color indexed="81"/>
            <rFont val="Tahoma"/>
            <family val="2"/>
            <charset val="238"/>
          </rPr>
          <t>Môj PC:</t>
        </r>
        <r>
          <rPr>
            <sz val="9"/>
            <color indexed="81"/>
            <rFont val="Tahoma"/>
            <family val="2"/>
            <charset val="238"/>
          </rPr>
          <t xml:space="preserve">
Depreciation was just set to the historical of 2025 and then kept flat for simplicity
</t>
        </r>
      </text>
    </comment>
    <comment ref="G104" authorId="0" shapeId="0" xr:uid="{0E12F7B6-312A-4B58-886D-E569B1E16E98}">
      <text>
        <r>
          <rPr>
            <sz val="9"/>
            <color indexed="81"/>
            <rFont val="Tahoma"/>
            <family val="2"/>
            <charset val="238"/>
          </rPr>
          <t xml:space="preserve">Simon:
2025 CapEx rounded and used flat for full holding period
</t>
        </r>
        <r>
          <rPr>
            <b/>
            <sz val="9"/>
            <color indexed="81"/>
            <rFont val="Tahoma"/>
            <family val="2"/>
            <charset val="238"/>
          </rPr>
          <t xml:space="preserve">
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<sst xmlns="http://schemas.openxmlformats.org/spreadsheetml/2006/main" count="194" uniqueCount="166">
  <si>
    <t>x</t>
  </si>
  <si>
    <t>Transaction Assumptions</t>
  </si>
  <si>
    <t>Entry Multiple</t>
  </si>
  <si>
    <t>Exit Multiple</t>
  </si>
  <si>
    <t xml:space="preserve">Tax Rate </t>
  </si>
  <si>
    <t>Rollover Proceeds</t>
  </si>
  <si>
    <t>Management Incentive Pool</t>
  </si>
  <si>
    <t>Minimum Cash Balance</t>
  </si>
  <si>
    <t>Transaction Fees</t>
  </si>
  <si>
    <t>Amortisation</t>
  </si>
  <si>
    <t>Step-Up of Assets</t>
  </si>
  <si>
    <t>Entry Assumptions</t>
  </si>
  <si>
    <t>Entry EBITDA Multiple (x)</t>
  </si>
  <si>
    <t>2025 EBITDA</t>
  </si>
  <si>
    <t>Enterprise Value</t>
  </si>
  <si>
    <t>Leverage Assumptions</t>
  </si>
  <si>
    <t>McCormick &amp; Company - LBO</t>
  </si>
  <si>
    <t>Term Loan</t>
  </si>
  <si>
    <t>PIK</t>
  </si>
  <si>
    <t>Total Debt</t>
  </si>
  <si>
    <t>Debt Type</t>
  </si>
  <si>
    <t>Leverage (x)</t>
  </si>
  <si>
    <t>Leverage ($)</t>
  </si>
  <si>
    <t>Fee (%)</t>
  </si>
  <si>
    <t>Fee ($)</t>
  </si>
  <si>
    <t>Amort (Yrs)</t>
  </si>
  <si>
    <t>Amort ($)</t>
  </si>
  <si>
    <t>Interest (%)</t>
  </si>
  <si>
    <t>P. Amort</t>
  </si>
  <si>
    <t>Sources &amp; Uses</t>
  </si>
  <si>
    <t xml:space="preserve">Sources  </t>
  </si>
  <si>
    <t xml:space="preserve">PIK </t>
  </si>
  <si>
    <t>Sponsor Equity Injection</t>
  </si>
  <si>
    <t>Management Rollover</t>
  </si>
  <si>
    <t>Total Sources</t>
  </si>
  <si>
    <t>Uses</t>
  </si>
  <si>
    <t>Purchase Price of Equity</t>
  </si>
  <si>
    <t xml:space="preserve">Financing fees </t>
  </si>
  <si>
    <t>Total Uses</t>
  </si>
  <si>
    <t>Goodwill Calculation</t>
  </si>
  <si>
    <t>Less: Book Value of Equity</t>
  </si>
  <si>
    <t>Add: Existing Goodwill</t>
  </si>
  <si>
    <t>Equity Step-Up</t>
  </si>
  <si>
    <t>Less: Write-Up of Assets</t>
  </si>
  <si>
    <t>Add: DTL</t>
  </si>
  <si>
    <t>Pro-Forma Goodwill</t>
  </si>
  <si>
    <t xml:space="preserve">Amort (Yrs) </t>
  </si>
  <si>
    <t>P&amp;L Forecast</t>
  </si>
  <si>
    <t>Revenue</t>
  </si>
  <si>
    <t>Gross Profit</t>
  </si>
  <si>
    <t>Less: SG&amp;A</t>
  </si>
  <si>
    <t>EBITDA</t>
  </si>
  <si>
    <t>Less: D&amp;A</t>
  </si>
  <si>
    <t>Less: Amort of Intangible</t>
  </si>
  <si>
    <t>EBIT</t>
  </si>
  <si>
    <t>Less: Cash Interest Expense</t>
  </si>
  <si>
    <t>Less: PIK Interest</t>
  </si>
  <si>
    <t>Less: Amort of Financing Fees</t>
  </si>
  <si>
    <t>EBT</t>
  </si>
  <si>
    <t>Less: Taxes</t>
  </si>
  <si>
    <t>Net Income</t>
  </si>
  <si>
    <t>Assumptions:</t>
  </si>
  <si>
    <t>Less: COGS</t>
  </si>
  <si>
    <t>% Revenue Growth</t>
  </si>
  <si>
    <t>% Gross Margin</t>
  </si>
  <si>
    <t>% SG&amp;A Margin</t>
  </si>
  <si>
    <t>Balance Sheet</t>
  </si>
  <si>
    <t xml:space="preserve">Cash </t>
  </si>
  <si>
    <t>Accounts Receivable</t>
  </si>
  <si>
    <t>PP&amp;E</t>
  </si>
  <si>
    <t>Goodwill</t>
  </si>
  <si>
    <t>Intangible Assets</t>
  </si>
  <si>
    <t>Capitalised Financing fees</t>
  </si>
  <si>
    <t>Total Assets</t>
  </si>
  <si>
    <t>Accounts Payable</t>
  </si>
  <si>
    <t>Deferred Tax Liabilities</t>
  </si>
  <si>
    <t>PIK Debt</t>
  </si>
  <si>
    <t>Total Liabilities</t>
  </si>
  <si>
    <t>Shareholders Equity</t>
  </si>
  <si>
    <t>Total Liabilities &amp; SE</t>
  </si>
  <si>
    <t>Check</t>
  </si>
  <si>
    <t>Pre-Txn</t>
  </si>
  <si>
    <t>Debits</t>
  </si>
  <si>
    <t>Credits</t>
  </si>
  <si>
    <t>Post-Txn</t>
  </si>
  <si>
    <t>Other Assets (not modeled)</t>
  </si>
  <si>
    <t>Other Liabilities (not modeled)</t>
  </si>
  <si>
    <t>Other line items (not modeled)</t>
  </si>
  <si>
    <t>DSO &amp; DPO Assumptions</t>
  </si>
  <si>
    <t>Accounts Receivables</t>
  </si>
  <si>
    <t>Cash Flow Forecast</t>
  </si>
  <si>
    <t>Add: D&amp;A</t>
  </si>
  <si>
    <t>Add: Amort. of Intangibles</t>
  </si>
  <si>
    <t>Add: Amort. of Financing Fees</t>
  </si>
  <si>
    <t>Add: Non-Cash PIK Interest</t>
  </si>
  <si>
    <t>Less: Unwind of DTL</t>
  </si>
  <si>
    <t>Less: Change in NWC</t>
  </si>
  <si>
    <t>Account Receivables</t>
  </si>
  <si>
    <t>Account Payables</t>
  </si>
  <si>
    <t>Cash Flow from Operations</t>
  </si>
  <si>
    <t>CapEx</t>
  </si>
  <si>
    <t>Cash Flow from Investing</t>
  </si>
  <si>
    <t>Debt Paydown:</t>
  </si>
  <si>
    <t>Revolver</t>
  </si>
  <si>
    <t>Cash Flow from Financing</t>
  </si>
  <si>
    <t>Net Change in Cash</t>
  </si>
  <si>
    <t>Debt Schedule</t>
  </si>
  <si>
    <t>FCF Waterfall</t>
  </si>
  <si>
    <t>FCF Available to Service Debt</t>
  </si>
  <si>
    <t>Less: Mandatory Amort. On TL</t>
  </si>
  <si>
    <t>FCF Available to Service Revolver</t>
  </si>
  <si>
    <t>Less: Revolver Repayment (if drawn)</t>
  </si>
  <si>
    <t>Less: Optional Prepayment</t>
  </si>
  <si>
    <t>FCF Available to Service TL</t>
  </si>
  <si>
    <t>FCF Post-Debt Paydown / Net Change in Cash</t>
  </si>
  <si>
    <t>Cashflow Available to Service Revolver</t>
  </si>
  <si>
    <t>Beginning Revolver Balance</t>
  </si>
  <si>
    <t>Less: Repayment / Drawdown</t>
  </si>
  <si>
    <t xml:space="preserve">Ending Revolver Balance </t>
  </si>
  <si>
    <t xml:space="preserve">Interest Rate </t>
  </si>
  <si>
    <t>Interest Expense</t>
  </si>
  <si>
    <t>Max Capacity</t>
  </si>
  <si>
    <t xml:space="preserve">Available Capacity </t>
  </si>
  <si>
    <t>Cashflow Available to Service TL</t>
  </si>
  <si>
    <t>Beginning Term Loan Balance</t>
  </si>
  <si>
    <t>Less: Mandatory Amort.</t>
  </si>
  <si>
    <t>Ending Term Loan Balance</t>
  </si>
  <si>
    <t>Cashflow Available to Service PIK</t>
  </si>
  <si>
    <t>Beginning PIK Balance</t>
  </si>
  <si>
    <t>Add: PIK Interest</t>
  </si>
  <si>
    <t>Ending PIK Debt Balance</t>
  </si>
  <si>
    <t>Rate:</t>
  </si>
  <si>
    <t>Interest Expense Calculation</t>
  </si>
  <si>
    <t>Interest from Revolver</t>
  </si>
  <si>
    <t>Interest from Term Loan</t>
  </si>
  <si>
    <t>Cash Interest Expense</t>
  </si>
  <si>
    <t xml:space="preserve">Non-Cash Interest from PIK </t>
  </si>
  <si>
    <t>Total Interest Expense</t>
  </si>
  <si>
    <t>Returns Calculation</t>
  </si>
  <si>
    <t>Total Equity Value Received at Exit</t>
  </si>
  <si>
    <t>Exit EBITDA</t>
  </si>
  <si>
    <t>(x) Exit Multiple</t>
  </si>
  <si>
    <t>Total Enterprise Value at Exit</t>
  </si>
  <si>
    <t>Less: Debt</t>
  </si>
  <si>
    <t>Add: Cash</t>
  </si>
  <si>
    <t>Total Equity Value at Exit</t>
  </si>
  <si>
    <t>Proceeds Waterfall</t>
  </si>
  <si>
    <t>A) Total Proceeds Available to Pay Mngm. Options</t>
  </si>
  <si>
    <t>Total Exit Value of Equity</t>
  </si>
  <si>
    <t>Less: Cost Basis of Mngm. Options Upon Creation</t>
  </si>
  <si>
    <t>Total Equity Value Created from Transaction</t>
  </si>
  <si>
    <t>(x) Management Option Pool %</t>
  </si>
  <si>
    <t>Proceeds Paid to Management Via Options</t>
  </si>
  <si>
    <t>B) Total Proceeds Available for Pro-Rata Distribution</t>
  </si>
  <si>
    <t>% Sponsor Ownership</t>
  </si>
  <si>
    <t>% Prior Management Ownership</t>
  </si>
  <si>
    <t>Proceeds to Sponsor</t>
  </si>
  <si>
    <t>Procees to Rollover Investor</t>
  </si>
  <si>
    <t>MoM &amp; IRR Calculations</t>
  </si>
  <si>
    <t>2030 Returns Calculation</t>
  </si>
  <si>
    <t>MoM Return</t>
  </si>
  <si>
    <t>IRR</t>
  </si>
  <si>
    <t>Sensitivity Analysis</t>
  </si>
  <si>
    <t>MoM Sensitivity</t>
  </si>
  <si>
    <t>IRR Sensitivity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</si>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</sst>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_);\(#,##0.0\);&quot;--&quot;"/>
    <numFmt numFmtId="165" formatCode="&quot;$&quot;#,##0.0_);\(&quot;$&quot;#,##0.0\);&quot;--&quot;"/>
    <numFmt numFmtId="166" formatCode="0.0%_);\(0.0%\);&quot;--&quot;"/>
    <numFmt numFmtId="167" formatCode="#,##0.0\x_);\(#,##0.0\x\);&quot;--&quot;"/>
    <numFmt numFmtId="168" formatCode="yyyy&quot;A&quot;"/>
    <numFmt numFmtId="169" formatCode="yyyy&quot;E&quot;"/>
    <numFmt numFmtId="170" formatCode="#,##0.0"/>
    <numFmt numFmtId="171" formatCode="dd/mm/yy"/>
  </numFmts>
  <fonts count="20" x14ac:knownFonts="1">
    <font>
      <sz val="12"/>
      <color theme="1"/>
      <name val="Aptos Narrow"/>
      <family val="2"/>
      <charset val="238"/>
    </font>
    <font>
      <b/>
      <sz val="16"/>
      <color theme="1"/>
      <name val="Aptos Narrow"/>
      <family val="2"/>
    </font>
    <font>
      <sz val="10"/>
      <color theme="1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name val="Arial"/>
      <family val="2"/>
      <charset val="238"/>
    </font>
    <font>
      <b/>
      <u/>
      <sz val="10"/>
      <name val="Arial"/>
      <family val="2"/>
      <charset val="238"/>
    </font>
    <font>
      <sz val="12"/>
      <color rgb="FF0000FF"/>
      <name val="Aptos Narrow"/>
      <family val="2"/>
      <charset val="238"/>
    </font>
    <font>
      <sz val="10"/>
      <color rgb="FF0000FF"/>
      <name val="Arial"/>
      <family val="2"/>
      <charset val="238"/>
    </font>
    <font>
      <b/>
      <u/>
      <sz val="10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C00000"/>
      <name val="Arial"/>
      <family val="2"/>
      <charset val="238"/>
    </font>
    <font>
      <b/>
      <sz val="10"/>
      <color rgb="FF0000FF"/>
      <name val="Arial"/>
      <family val="2"/>
      <charset val="238"/>
    </font>
    <font>
      <i/>
      <u/>
      <sz val="10"/>
      <color theme="1"/>
      <name val="Arial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b/>
      <sz val="10"/>
      <name val="Arial"/>
      <family val="2"/>
      <charset val="238"/>
    </font>
    <font>
      <u/>
      <sz val="10"/>
      <color theme="1"/>
      <name val="Arial"/>
      <family val="2"/>
      <charset val="238"/>
    </font>
    <font>
      <sz val="10"/>
      <color theme="0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2" fillId="0" borderId="0" xfId="0" applyNumberFormat="1" applyFont="1"/>
    <xf numFmtId="164" fontId="3" fillId="2" borderId="0" xfId="0" applyNumberFormat="1" applyFont="1" applyFill="1"/>
    <xf numFmtId="164" fontId="4" fillId="0" borderId="0" xfId="0" applyNumberFormat="1" applyFont="1"/>
    <xf numFmtId="164" fontId="4" fillId="0" borderId="2" xfId="0" applyNumberFormat="1" applyFont="1" applyBorder="1"/>
    <xf numFmtId="164" fontId="5" fillId="0" borderId="0" xfId="0" applyNumberFormat="1" applyFont="1"/>
    <xf numFmtId="164" fontId="6" fillId="0" borderId="0" xfId="0" applyNumberFormat="1" applyFont="1"/>
    <xf numFmtId="164" fontId="4" fillId="0" borderId="3" xfId="0" applyNumberFormat="1" applyFont="1" applyBorder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7" fillId="0" borderId="0" xfId="0" applyFont="1"/>
    <xf numFmtId="167" fontId="2" fillId="0" borderId="0" xfId="0" applyNumberFormat="1" applyFont="1"/>
    <xf numFmtId="167" fontId="8" fillId="0" borderId="0" xfId="0" applyNumberFormat="1" applyFont="1"/>
    <xf numFmtId="166" fontId="2" fillId="0" borderId="0" xfId="0" applyNumberFormat="1" applyFont="1"/>
    <xf numFmtId="166" fontId="8" fillId="0" borderId="0" xfId="0" applyNumberFormat="1" applyFont="1"/>
    <xf numFmtId="164" fontId="2" fillId="0" borderId="3" xfId="0" applyNumberFormat="1" applyFont="1" applyBorder="1"/>
    <xf numFmtId="164" fontId="9" fillId="0" borderId="0" xfId="0" applyNumberFormat="1" applyFont="1"/>
    <xf numFmtId="164" fontId="2" fillId="0" borderId="2" xfId="0" applyNumberFormat="1" applyFont="1" applyBorder="1"/>
    <xf numFmtId="164" fontId="2" fillId="2" borderId="0" xfId="0" applyNumberFormat="1" applyFont="1" applyFill="1"/>
    <xf numFmtId="168" fontId="3" fillId="2" borderId="0" xfId="0" applyNumberFormat="1" applyFont="1" applyFill="1"/>
    <xf numFmtId="169" fontId="3" fillId="2" borderId="0" xfId="0" applyNumberFormat="1" applyFont="1" applyFill="1"/>
    <xf numFmtId="164" fontId="2" fillId="0" borderId="0" xfId="0" applyNumberFormat="1" applyFont="1" applyAlignment="1">
      <alignment horizontal="left"/>
    </xf>
    <xf numFmtId="164" fontId="2" fillId="3" borderId="0" xfId="0" applyNumberFormat="1" applyFont="1" applyFill="1"/>
    <xf numFmtId="164" fontId="4" fillId="3" borderId="3" xfId="0" applyNumberFormat="1" applyFont="1" applyFill="1" applyBorder="1"/>
    <xf numFmtId="164" fontId="4" fillId="3" borderId="2" xfId="0" applyNumberFormat="1" applyFont="1" applyFill="1" applyBorder="1"/>
    <xf numFmtId="164" fontId="8" fillId="0" borderId="0" xfId="0" applyNumberFormat="1" applyFont="1"/>
    <xf numFmtId="164" fontId="10" fillId="0" borderId="0" xfId="0" applyNumberFormat="1" applyFont="1"/>
    <xf numFmtId="164" fontId="12" fillId="0" borderId="0" xfId="0" applyNumberFormat="1" applyFont="1"/>
    <xf numFmtId="0" fontId="8" fillId="0" borderId="0" xfId="0" applyFont="1"/>
    <xf numFmtId="170" fontId="8" fillId="0" borderId="0" xfId="0" applyNumberFormat="1" applyFont="1"/>
    <xf numFmtId="164" fontId="9" fillId="0" borderId="0" xfId="0" applyNumberFormat="1" applyFont="1" applyAlignment="1">
      <alignment horizontal="right"/>
    </xf>
    <xf numFmtId="164" fontId="11" fillId="0" borderId="0" xfId="0" applyNumberFormat="1" applyFont="1"/>
    <xf numFmtId="164" fontId="13" fillId="0" borderId="2" xfId="0" applyNumberFormat="1" applyFont="1" applyBorder="1"/>
    <xf numFmtId="164" fontId="2" fillId="0" borderId="1" xfId="0" applyNumberFormat="1" applyFont="1" applyBorder="1"/>
    <xf numFmtId="164" fontId="13" fillId="0" borderId="3" xfId="0" applyNumberFormat="1" applyFont="1" applyBorder="1"/>
    <xf numFmtId="164" fontId="14" fillId="0" borderId="0" xfId="0" applyNumberFormat="1" applyFont="1"/>
    <xf numFmtId="164" fontId="4" fillId="3" borderId="0" xfId="0" applyNumberFormat="1" applyFont="1" applyFill="1"/>
    <xf numFmtId="164" fontId="4" fillId="4" borderId="0" xfId="0" applyNumberFormat="1" applyFont="1" applyFill="1"/>
    <xf numFmtId="164" fontId="13" fillId="0" borderId="0" xfId="0" applyNumberFormat="1" applyFont="1"/>
    <xf numFmtId="164" fontId="17" fillId="0" borderId="3" xfId="0" applyNumberFormat="1" applyFont="1" applyBorder="1"/>
    <xf numFmtId="164" fontId="18" fillId="0" borderId="0" xfId="0" applyNumberFormat="1" applyFont="1"/>
    <xf numFmtId="166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164" fontId="2" fillId="4" borderId="0" xfId="0" applyNumberFormat="1" applyFont="1" applyFill="1"/>
    <xf numFmtId="164" fontId="4" fillId="4" borderId="4" xfId="0" applyNumberFormat="1" applyFont="1" applyFill="1" applyBorder="1"/>
    <xf numFmtId="164" fontId="2" fillId="4" borderId="3" xfId="0" applyNumberFormat="1" applyFont="1" applyFill="1" applyBorder="1"/>
    <xf numFmtId="164" fontId="4" fillId="4" borderId="5" xfId="0" applyNumberFormat="1" applyFont="1" applyFill="1" applyBorder="1"/>
    <xf numFmtId="164" fontId="2" fillId="4" borderId="1" xfId="0" applyNumberFormat="1" applyFont="1" applyFill="1" applyBorder="1"/>
    <xf numFmtId="164" fontId="4" fillId="4" borderId="1" xfId="0" applyNumberFormat="1" applyFont="1" applyFill="1" applyBorder="1"/>
    <xf numFmtId="164" fontId="4" fillId="4" borderId="3" xfId="0" applyNumberFormat="1" applyFont="1" applyFill="1" applyBorder="1"/>
    <xf numFmtId="164" fontId="4" fillId="5" borderId="9" xfId="0" applyNumberFormat="1" applyFont="1" applyFill="1" applyBorder="1"/>
    <xf numFmtId="164" fontId="4" fillId="5" borderId="10" xfId="0" applyNumberFormat="1" applyFont="1" applyFill="1" applyBorder="1"/>
    <xf numFmtId="171" fontId="2" fillId="0" borderId="0" xfId="0" applyNumberFormat="1" applyFont="1"/>
    <xf numFmtId="164" fontId="4" fillId="5" borderId="11" xfId="0" applyNumberFormat="1" applyFont="1" applyFill="1" applyBorder="1"/>
    <xf numFmtId="164" fontId="4" fillId="5" borderId="12" xfId="0" applyNumberFormat="1" applyFont="1" applyFill="1" applyBorder="1"/>
    <xf numFmtId="164" fontId="4" fillId="5" borderId="14" xfId="0" applyNumberFormat="1" applyFont="1" applyFill="1" applyBorder="1"/>
    <xf numFmtId="164" fontId="4" fillId="5" borderId="15" xfId="0" applyNumberFormat="1" applyFont="1" applyFill="1" applyBorder="1"/>
    <xf numFmtId="166" fontId="4" fillId="5" borderId="16" xfId="0" applyNumberFormat="1" applyFont="1" applyFill="1" applyBorder="1"/>
    <xf numFmtId="167" fontId="4" fillId="5" borderId="13" xfId="0" applyNumberFormat="1" applyFont="1" applyFill="1" applyBorder="1"/>
    <xf numFmtId="167" fontId="2" fillId="0" borderId="18" xfId="0" applyNumberFormat="1" applyFont="1" applyBorder="1"/>
    <xf numFmtId="167" fontId="2" fillId="0" borderId="19" xfId="0" applyNumberFormat="1" applyFont="1" applyBorder="1"/>
    <xf numFmtId="164" fontId="19" fillId="0" borderId="0" xfId="0" applyNumberFormat="1" applyFont="1"/>
    <xf numFmtId="167" fontId="4" fillId="7" borderId="8" xfId="0" applyNumberFormat="1" applyFont="1" applyFill="1" applyBorder="1"/>
    <xf numFmtId="167" fontId="4" fillId="0" borderId="19" xfId="0" applyNumberFormat="1" applyFont="1" applyBorder="1"/>
    <xf numFmtId="167" fontId="4" fillId="0" borderId="18" xfId="0" applyNumberFormat="1" applyFont="1" applyBorder="1"/>
    <xf numFmtId="166" fontId="4" fillId="7" borderId="8" xfId="0" applyNumberFormat="1" applyFont="1" applyFill="1" applyBorder="1"/>
    <xf numFmtId="165" fontId="18" fillId="0" borderId="0" xfId="0" applyNumberFormat="1" applyFont="1" applyAlignment="1">
      <alignment horizontal="center"/>
    </xf>
    <xf numFmtId="164" fontId="4" fillId="6" borderId="17" xfId="0" applyNumberFormat="1" applyFont="1" applyFill="1" applyBorder="1" applyAlignment="1">
      <alignment horizontal="center"/>
    </xf>
    <xf numFmtId="164" fontId="4" fillId="6" borderId="6" xfId="0" applyNumberFormat="1" applyFont="1" applyFill="1" applyBorder="1" applyAlignment="1">
      <alignment horizontal="center"/>
    </xf>
    <xf numFmtId="164" fontId="4" fillId="6" borderId="7" xfId="0" applyNumberFormat="1" applyFont="1" applyFill="1" applyBorder="1" applyAlignment="1">
      <alignment horizontal="center"/>
    </xf>
    <xf numFmtId="164" fontId="2" fillId="0" borderId="0" xfId="0" applyNumberFormat="1" applyFont="1" applyFill="1"/>
    <xf numFmtId="164" fontId="4" fillId="0" borderId="0" xfId="0" applyNumberFormat="1" applyFont="1" applyBorder="1"/>
    <xf numFmtId="164" fontId="6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7" fontId="8" fillId="0" borderId="0" xfId="0" applyNumberFormat="1" applyFont="1" applyAlignment="1">
      <alignment horizontal="right"/>
    </xf>
    <xf numFmtId="167" fontId="4" fillId="0" borderId="3" xfId="0" applyNumberFormat="1" applyFont="1" applyBorder="1" applyAlignment="1">
      <alignment horizontal="right"/>
    </xf>
    <xf numFmtId="164" fontId="4" fillId="0" borderId="3" xfId="0" applyNumberFormat="1" applyFont="1" applyBorder="1" applyAlignment="1">
      <alignment horizontal="right"/>
    </xf>
    <xf numFmtId="164" fontId="8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1F7FFE-61D7-40E4-8D47-1D34A50E466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239bb8d-dbba-44a1-a06b-32974229743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CFB02-2616-49D2-B078-7260D63DF9AF}">
  <dimension ref="A1:T209"/>
  <sheetViews>
    <sheetView showGridLines="0" tabSelected="1" workbookViewId="0"/>
  </sheetViews>
  <sheetFormatPr defaultRowHeight="12.75" x14ac:dyDescent="0.2"/>
  <cols>
    <col min="1" max="1" width="3.625" style="3" customWidth="1"/>
    <col min="2" max="11" width="10.625" style="3" customWidth="1"/>
    <col min="12" max="16384" width="9" style="3"/>
  </cols>
  <sheetData>
    <row r="1" spans="1:20" customFormat="1" ht="15.75" x14ac:dyDescent="0.25">
      <c r="Q1" s="10"/>
      <c r="R1" s="11"/>
      <c r="S1" s="12"/>
      <c r="T1" s="13"/>
    </row>
    <row r="2" spans="1:20" s="2" customFormat="1" ht="21" x14ac:dyDescent="0.35">
      <c r="B2" s="1" t="s">
        <v>16</v>
      </c>
    </row>
    <row r="4" spans="1:20" x14ac:dyDescent="0.2">
      <c r="A4" s="3" t="s">
        <v>0</v>
      </c>
      <c r="B4" s="4" t="s">
        <v>1</v>
      </c>
      <c r="C4" s="4"/>
      <c r="D4" s="4"/>
      <c r="E4" s="4"/>
      <c r="F4" s="4"/>
      <c r="G4" s="4"/>
      <c r="H4" s="4"/>
      <c r="I4" s="4"/>
      <c r="J4" s="4"/>
      <c r="K4" s="4"/>
    </row>
    <row r="5" spans="1:20" x14ac:dyDescent="0.2">
      <c r="B5" s="3" t="s">
        <v>2</v>
      </c>
      <c r="E5" s="15">
        <v>12</v>
      </c>
    </row>
    <row r="6" spans="1:20" x14ac:dyDescent="0.2">
      <c r="B6" s="3" t="s">
        <v>3</v>
      </c>
      <c r="E6" s="15">
        <v>12</v>
      </c>
    </row>
    <row r="7" spans="1:20" x14ac:dyDescent="0.2">
      <c r="A7" s="28"/>
      <c r="B7" s="3" t="s">
        <v>4</v>
      </c>
      <c r="E7" s="17">
        <v>0.2</v>
      </c>
    </row>
    <row r="8" spans="1:20" x14ac:dyDescent="0.2">
      <c r="B8" s="3" t="s">
        <v>5</v>
      </c>
      <c r="E8" s="17">
        <v>0.25</v>
      </c>
    </row>
    <row r="9" spans="1:20" x14ac:dyDescent="0.2">
      <c r="B9" s="3" t="s">
        <v>6</v>
      </c>
      <c r="E9" s="17">
        <v>0.1</v>
      </c>
    </row>
    <row r="10" spans="1:20" x14ac:dyDescent="0.2">
      <c r="B10" s="3" t="s">
        <v>7</v>
      </c>
      <c r="E10" s="28">
        <v>100</v>
      </c>
    </row>
    <row r="11" spans="1:20" x14ac:dyDescent="0.2">
      <c r="B11" s="3" t="s">
        <v>8</v>
      </c>
      <c r="E11" s="17">
        <v>0.01</v>
      </c>
    </row>
    <row r="12" spans="1:20" x14ac:dyDescent="0.2">
      <c r="B12" s="3" t="s">
        <v>9</v>
      </c>
      <c r="C12" s="3" t="s">
        <v>165</v>
      </c>
      <c r="E12" s="28">
        <v>10</v>
      </c>
    </row>
    <row r="13" spans="1:20" x14ac:dyDescent="0.2">
      <c r="B13" s="3" t="s">
        <v>10</v>
      </c>
      <c r="E13" s="17">
        <v>0.1</v>
      </c>
    </row>
    <row r="15" spans="1:20" x14ac:dyDescent="0.2">
      <c r="A15" s="3" t="s">
        <v>0</v>
      </c>
      <c r="B15" s="4" t="s">
        <v>11</v>
      </c>
      <c r="C15" s="4"/>
      <c r="D15" s="4"/>
      <c r="E15" s="4"/>
      <c r="F15" s="4"/>
      <c r="G15" s="4"/>
      <c r="H15" s="4"/>
      <c r="I15" s="4"/>
      <c r="J15" s="4"/>
      <c r="K15" s="4"/>
    </row>
    <row r="16" spans="1:20" x14ac:dyDescent="0.2">
      <c r="B16" s="3" t="s">
        <v>12</v>
      </c>
      <c r="E16" s="14">
        <f>E5</f>
        <v>12</v>
      </c>
    </row>
    <row r="17" spans="1:11" x14ac:dyDescent="0.2">
      <c r="B17" s="3" t="s">
        <v>13</v>
      </c>
      <c r="E17" s="3">
        <f>F49</f>
        <v>1071</v>
      </c>
    </row>
    <row r="18" spans="1:11" s="5" customFormat="1" ht="13.5" thickBot="1" x14ac:dyDescent="0.25">
      <c r="B18" s="6" t="s">
        <v>14</v>
      </c>
      <c r="C18" s="6"/>
      <c r="D18" s="6"/>
      <c r="E18" s="6">
        <f>E17*E16</f>
        <v>12852</v>
      </c>
      <c r="F18" s="75"/>
      <c r="G18" s="75"/>
      <c r="H18" s="75"/>
      <c r="I18" s="75"/>
      <c r="J18" s="75"/>
    </row>
    <row r="19" spans="1:11" ht="13.5" thickTop="1" x14ac:dyDescent="0.2"/>
    <row r="20" spans="1:11" x14ac:dyDescent="0.2">
      <c r="A20" s="3" t="s">
        <v>0</v>
      </c>
      <c r="B20" s="4" t="s">
        <v>15</v>
      </c>
      <c r="C20" s="4"/>
      <c r="D20" s="4"/>
      <c r="E20" s="4"/>
      <c r="F20" s="4"/>
      <c r="G20" s="4"/>
      <c r="H20" s="4"/>
      <c r="I20" s="4"/>
      <c r="J20" s="4"/>
      <c r="K20" s="4"/>
    </row>
    <row r="21" spans="1:11" s="7" customFormat="1" x14ac:dyDescent="0.2">
      <c r="B21" s="8" t="s">
        <v>20</v>
      </c>
      <c r="C21" s="76" t="s">
        <v>21</v>
      </c>
      <c r="D21" s="76" t="s">
        <v>22</v>
      </c>
      <c r="E21" s="76" t="s">
        <v>23</v>
      </c>
      <c r="F21" s="76" t="s">
        <v>24</v>
      </c>
      <c r="G21" s="76" t="s">
        <v>25</v>
      </c>
      <c r="H21" s="76" t="s">
        <v>26</v>
      </c>
      <c r="I21" s="76" t="s">
        <v>27</v>
      </c>
      <c r="J21" s="76" t="s">
        <v>28</v>
      </c>
    </row>
    <row r="22" spans="1:11" x14ac:dyDescent="0.2">
      <c r="B22" s="3" t="s">
        <v>17</v>
      </c>
      <c r="C22" s="78">
        <v>4</v>
      </c>
      <c r="D22" s="77">
        <f>C22*$E$17</f>
        <v>4284</v>
      </c>
      <c r="E22" s="46">
        <v>0.02</v>
      </c>
      <c r="F22" s="77">
        <f>D22*E22</f>
        <v>85.68</v>
      </c>
      <c r="G22" s="77">
        <f>E12</f>
        <v>10</v>
      </c>
      <c r="H22" s="77">
        <f>F22/G22</f>
        <v>8.5680000000000014</v>
      </c>
      <c r="I22" s="46">
        <v>0.08</v>
      </c>
      <c r="J22" s="46">
        <v>0.01</v>
      </c>
    </row>
    <row r="23" spans="1:11" x14ac:dyDescent="0.2">
      <c r="B23" s="3" t="s">
        <v>18</v>
      </c>
      <c r="C23" s="78">
        <v>2</v>
      </c>
      <c r="D23" s="77">
        <f>C23*$E$17</f>
        <v>2142</v>
      </c>
      <c r="E23" s="46">
        <v>0.02</v>
      </c>
      <c r="F23" s="77">
        <f>D23*E23</f>
        <v>42.84</v>
      </c>
      <c r="G23" s="77">
        <f>E12</f>
        <v>10</v>
      </c>
      <c r="H23" s="77">
        <f>F23/G23</f>
        <v>4.2840000000000007</v>
      </c>
      <c r="I23" s="46">
        <v>0.1</v>
      </c>
      <c r="J23" s="46">
        <v>0</v>
      </c>
    </row>
    <row r="24" spans="1:11" s="5" customFormat="1" x14ac:dyDescent="0.2">
      <c r="B24" s="9" t="s">
        <v>19</v>
      </c>
      <c r="C24" s="79">
        <f>SUM(C22:C23)</f>
        <v>6</v>
      </c>
      <c r="D24" s="80"/>
      <c r="E24" s="80"/>
      <c r="F24" s="80">
        <f>SUM(F22:F23)</f>
        <v>128.52000000000001</v>
      </c>
      <c r="G24" s="80"/>
      <c r="H24" s="80">
        <f>SUM(H22:H23)</f>
        <v>12.852000000000002</v>
      </c>
      <c r="I24" s="80"/>
      <c r="J24" s="80"/>
    </row>
    <row r="26" spans="1:11" x14ac:dyDescent="0.2">
      <c r="A26" s="3" t="s">
        <v>0</v>
      </c>
      <c r="B26" s="4" t="s">
        <v>29</v>
      </c>
      <c r="C26" s="4"/>
      <c r="D26" s="4"/>
      <c r="E26" s="4"/>
      <c r="F26" s="4"/>
      <c r="G26" s="4"/>
      <c r="H26" s="4"/>
      <c r="I26" s="4"/>
      <c r="J26" s="4"/>
      <c r="K26" s="4"/>
    </row>
    <row r="27" spans="1:11" x14ac:dyDescent="0.2">
      <c r="B27" s="19" t="s">
        <v>30</v>
      </c>
      <c r="G27" s="19" t="s">
        <v>35</v>
      </c>
    </row>
    <row r="28" spans="1:11" x14ac:dyDescent="0.2">
      <c r="B28" s="3" t="s">
        <v>17</v>
      </c>
      <c r="E28" s="3">
        <f>D22</f>
        <v>4284</v>
      </c>
      <c r="G28" s="3" t="s">
        <v>36</v>
      </c>
      <c r="J28" s="3">
        <f>E18</f>
        <v>12852</v>
      </c>
    </row>
    <row r="29" spans="1:11" x14ac:dyDescent="0.2">
      <c r="B29" s="3" t="s">
        <v>31</v>
      </c>
      <c r="E29" s="3">
        <f>D23</f>
        <v>2142</v>
      </c>
      <c r="G29" s="3" t="s">
        <v>8</v>
      </c>
      <c r="J29" s="3">
        <f>E18*E11</f>
        <v>128.52000000000001</v>
      </c>
    </row>
    <row r="30" spans="1:11" x14ac:dyDescent="0.2">
      <c r="B30" s="9" t="s">
        <v>19</v>
      </c>
      <c r="C30" s="18"/>
      <c r="D30" s="18"/>
      <c r="E30" s="18">
        <f>SUM(E28:E29)</f>
        <v>6426</v>
      </c>
      <c r="G30" s="3" t="s">
        <v>37</v>
      </c>
      <c r="J30" s="3">
        <f>F24</f>
        <v>128.52000000000001</v>
      </c>
    </row>
    <row r="31" spans="1:11" x14ac:dyDescent="0.2">
      <c r="B31" s="3" t="s">
        <v>32</v>
      </c>
      <c r="E31" s="3">
        <f>E33-E30-E32</f>
        <v>3570.0400000000009</v>
      </c>
      <c r="G31" s="3" t="s">
        <v>7</v>
      </c>
      <c r="J31" s="3">
        <f>E10</f>
        <v>100</v>
      </c>
    </row>
    <row r="32" spans="1:11" x14ac:dyDescent="0.2">
      <c r="B32" s="3" t="s">
        <v>33</v>
      </c>
      <c r="E32" s="3">
        <f>E18*E8</f>
        <v>3213</v>
      </c>
    </row>
    <row r="33" spans="1:11" ht="13.5" thickBot="1" x14ac:dyDescent="0.25">
      <c r="B33" s="6" t="s">
        <v>34</v>
      </c>
      <c r="C33" s="20"/>
      <c r="D33" s="20"/>
      <c r="E33" s="6">
        <f>J33</f>
        <v>13209.04</v>
      </c>
      <c r="G33" s="6" t="s">
        <v>38</v>
      </c>
      <c r="H33" s="20"/>
      <c r="I33" s="20"/>
      <c r="J33" s="6">
        <f>SUM(J28:J31)</f>
        <v>13209.04</v>
      </c>
    </row>
    <row r="34" spans="1:11" ht="13.5" thickTop="1" x14ac:dyDescent="0.2"/>
    <row r="35" spans="1:11" x14ac:dyDescent="0.2">
      <c r="A35" s="3" t="s">
        <v>0</v>
      </c>
      <c r="B35" s="4" t="s">
        <v>39</v>
      </c>
      <c r="C35" s="4"/>
      <c r="D35" s="4"/>
      <c r="E35" s="4"/>
      <c r="F35" s="4"/>
      <c r="G35" s="4"/>
      <c r="H35" s="4"/>
      <c r="I35" s="4"/>
      <c r="J35" s="4"/>
      <c r="K35" s="21"/>
    </row>
    <row r="36" spans="1:11" s="5" customFormat="1" x14ac:dyDescent="0.2">
      <c r="B36" s="5" t="s">
        <v>36</v>
      </c>
      <c r="E36" s="5">
        <f>J28</f>
        <v>12852</v>
      </c>
    </row>
    <row r="37" spans="1:11" x14ac:dyDescent="0.2">
      <c r="B37" s="3" t="s">
        <v>40</v>
      </c>
      <c r="E37" s="3">
        <f>-M82</f>
        <v>-8346.1000000000022</v>
      </c>
    </row>
    <row r="38" spans="1:11" x14ac:dyDescent="0.2">
      <c r="B38" s="3" t="s">
        <v>41</v>
      </c>
      <c r="E38" s="3">
        <f>M69</f>
        <v>5301.3</v>
      </c>
    </row>
    <row r="39" spans="1:11" s="5" customFormat="1" x14ac:dyDescent="0.2">
      <c r="B39" s="9" t="s">
        <v>42</v>
      </c>
      <c r="C39" s="9"/>
      <c r="D39" s="9"/>
      <c r="E39" s="9">
        <f>SUM(E36:E38)</f>
        <v>9807.1999999999971</v>
      </c>
      <c r="G39" s="33" t="s">
        <v>46</v>
      </c>
      <c r="H39" s="33" t="s">
        <v>26</v>
      </c>
    </row>
    <row r="40" spans="1:11" x14ac:dyDescent="0.2">
      <c r="B40" s="3" t="s">
        <v>43</v>
      </c>
      <c r="E40" s="3">
        <f>-E39*E13</f>
        <v>-980.7199999999998</v>
      </c>
      <c r="G40" s="3">
        <f>$E$12</f>
        <v>10</v>
      </c>
      <c r="H40" s="3">
        <f>-E40/G40</f>
        <v>98.071999999999974</v>
      </c>
    </row>
    <row r="41" spans="1:11" x14ac:dyDescent="0.2">
      <c r="B41" s="3" t="s">
        <v>44</v>
      </c>
      <c r="E41" s="3">
        <f>-E40*E7</f>
        <v>196.14399999999998</v>
      </c>
      <c r="G41" s="3">
        <f>$E$12</f>
        <v>10</v>
      </c>
      <c r="H41" s="3">
        <f>E41/G41</f>
        <v>19.614399999999996</v>
      </c>
    </row>
    <row r="42" spans="1:11" s="5" customFormat="1" ht="13.5" thickBot="1" x14ac:dyDescent="0.25">
      <c r="B42" s="6" t="s">
        <v>45</v>
      </c>
      <c r="C42" s="6"/>
      <c r="D42" s="6"/>
      <c r="E42" s="6">
        <f>SUM(E39:E41)</f>
        <v>9022.623999999998</v>
      </c>
    </row>
    <row r="43" spans="1:11" ht="13.5" thickTop="1" x14ac:dyDescent="0.2"/>
    <row r="44" spans="1:11" x14ac:dyDescent="0.2">
      <c r="A44" s="3" t="s">
        <v>0</v>
      </c>
      <c r="B44" s="4" t="s">
        <v>47</v>
      </c>
      <c r="C44" s="4"/>
      <c r="D44" s="4"/>
      <c r="E44" s="22">
        <v>45657</v>
      </c>
      <c r="F44" s="22">
        <f>EOMONTH(E44,12)</f>
        <v>46022</v>
      </c>
      <c r="G44" s="23">
        <f t="shared" ref="G44:K44" si="0">EOMONTH(F44,12)</f>
        <v>46387</v>
      </c>
      <c r="H44" s="23">
        <f t="shared" si="0"/>
        <v>46752</v>
      </c>
      <c r="I44" s="23">
        <f t="shared" si="0"/>
        <v>47118</v>
      </c>
      <c r="J44" s="23">
        <f t="shared" si="0"/>
        <v>47483</v>
      </c>
      <c r="K44" s="23">
        <f t="shared" si="0"/>
        <v>47848</v>
      </c>
    </row>
    <row r="45" spans="1:11" s="5" customFormat="1" x14ac:dyDescent="0.2">
      <c r="B45" s="5" t="s">
        <v>48</v>
      </c>
      <c r="E45" s="41">
        <v>6723</v>
      </c>
      <c r="F45" s="41">
        <v>6840</v>
      </c>
      <c r="G45" s="5">
        <f>F45*(1+G61)</f>
        <v>7045.2</v>
      </c>
      <c r="H45" s="5">
        <f t="shared" ref="H45:K45" si="1">G45*(1+H61)</f>
        <v>7256.5559999999996</v>
      </c>
      <c r="I45" s="5">
        <f t="shared" si="1"/>
        <v>7474.2526799999996</v>
      </c>
      <c r="J45" s="5">
        <f t="shared" si="1"/>
        <v>7698.4802603999997</v>
      </c>
      <c r="K45" s="5">
        <f t="shared" si="1"/>
        <v>7929.4346682119995</v>
      </c>
    </row>
    <row r="46" spans="1:11" x14ac:dyDescent="0.2">
      <c r="B46" s="24" t="s">
        <v>62</v>
      </c>
      <c r="E46" s="28">
        <v>-4132</v>
      </c>
      <c r="F46" s="28">
        <v>-4248</v>
      </c>
      <c r="G46" s="3">
        <f>-(G45-G47)</f>
        <v>-4368.0239999999994</v>
      </c>
      <c r="H46" s="3">
        <f t="shared" ref="H46:K46" si="2">-(H45-H47)</f>
        <v>-4426.4991599999994</v>
      </c>
      <c r="I46" s="3">
        <f t="shared" si="2"/>
        <v>-4484.5516079999998</v>
      </c>
      <c r="J46" s="3">
        <f t="shared" si="2"/>
        <v>-4542.1033536359992</v>
      </c>
      <c r="K46" s="3">
        <f t="shared" si="2"/>
        <v>-4599.072107562959</v>
      </c>
    </row>
    <row r="47" spans="1:11" s="5" customFormat="1" x14ac:dyDescent="0.2">
      <c r="B47" s="9" t="s">
        <v>49</v>
      </c>
      <c r="C47" s="9"/>
      <c r="D47" s="9"/>
      <c r="E47" s="42">
        <f>SUM(E45:E46)</f>
        <v>2591</v>
      </c>
      <c r="F47" s="42">
        <f>SUM(F45:F46)</f>
        <v>2592</v>
      </c>
      <c r="G47" s="42">
        <f>G45*G62</f>
        <v>2677.1759999999999</v>
      </c>
      <c r="H47" s="42">
        <f t="shared" ref="H47:K47" si="3">H45*H62</f>
        <v>2830.0568399999997</v>
      </c>
      <c r="I47" s="42">
        <f t="shared" si="3"/>
        <v>2989.7010719999998</v>
      </c>
      <c r="J47" s="42">
        <f t="shared" si="3"/>
        <v>3156.3769067640001</v>
      </c>
      <c r="K47" s="42">
        <f t="shared" si="3"/>
        <v>3330.36256064904</v>
      </c>
    </row>
    <row r="48" spans="1:11" x14ac:dyDescent="0.2">
      <c r="B48" s="3" t="s">
        <v>50</v>
      </c>
      <c r="E48" s="28">
        <f>-1521+-9</f>
        <v>-1530</v>
      </c>
      <c r="F48" s="28">
        <f>-1500+-21</f>
        <v>-1521</v>
      </c>
      <c r="G48" s="3">
        <f>-G45*G63</f>
        <v>-1535.8535999999999</v>
      </c>
      <c r="H48" s="3">
        <f t="shared" ref="H48:K48" si="4">-H45*H63</f>
        <v>-1560.1595399999999</v>
      </c>
      <c r="I48" s="3">
        <f t="shared" si="4"/>
        <v>-1569.5930627999999</v>
      </c>
      <c r="J48" s="3">
        <f t="shared" si="4"/>
        <v>-1578.1884533819998</v>
      </c>
      <c r="K48" s="3">
        <f t="shared" si="4"/>
        <v>-1585.8869336423998</v>
      </c>
    </row>
    <row r="49" spans="2:11" x14ac:dyDescent="0.2">
      <c r="B49" s="9" t="s">
        <v>51</v>
      </c>
      <c r="C49" s="9"/>
      <c r="D49" s="9"/>
      <c r="E49" s="9">
        <f>SUM(E47:E48)</f>
        <v>1061</v>
      </c>
      <c r="F49" s="9">
        <f>SUM(F47:F48)</f>
        <v>1071</v>
      </c>
      <c r="G49" s="9">
        <f t="shared" ref="G49:K49" si="5">SUM(G47:G48)</f>
        <v>1141.3224</v>
      </c>
      <c r="H49" s="9">
        <f t="shared" si="5"/>
        <v>1269.8972999999999</v>
      </c>
      <c r="I49" s="9">
        <f t="shared" si="5"/>
        <v>1420.1080092</v>
      </c>
      <c r="J49" s="9">
        <f t="shared" si="5"/>
        <v>1578.1884533820003</v>
      </c>
      <c r="K49" s="9">
        <f t="shared" si="5"/>
        <v>1744.4756270066403</v>
      </c>
    </row>
    <row r="50" spans="2:11" x14ac:dyDescent="0.2">
      <c r="B50" s="3" t="s">
        <v>52</v>
      </c>
      <c r="E50" s="25"/>
      <c r="F50" s="3">
        <v>-231</v>
      </c>
      <c r="G50" s="3">
        <v>-231</v>
      </c>
      <c r="H50" s="3">
        <v>-231</v>
      </c>
      <c r="I50" s="3">
        <v>-231</v>
      </c>
      <c r="J50" s="3">
        <v>-231</v>
      </c>
      <c r="K50" s="3">
        <v>-231</v>
      </c>
    </row>
    <row r="51" spans="2:11" x14ac:dyDescent="0.2">
      <c r="B51" s="3" t="s">
        <v>53</v>
      </c>
      <c r="E51" s="25"/>
      <c r="F51" s="3">
        <v>0</v>
      </c>
      <c r="G51" s="3">
        <f t="shared" ref="G51:K51" si="6">-$H$40</f>
        <v>-98.071999999999974</v>
      </c>
      <c r="H51" s="3">
        <f t="shared" si="6"/>
        <v>-98.071999999999974</v>
      </c>
      <c r="I51" s="3">
        <f t="shared" si="6"/>
        <v>-98.071999999999974</v>
      </c>
      <c r="J51" s="3">
        <f t="shared" si="6"/>
        <v>-98.071999999999974</v>
      </c>
      <c r="K51" s="3">
        <f t="shared" si="6"/>
        <v>-98.071999999999974</v>
      </c>
    </row>
    <row r="52" spans="2:11" x14ac:dyDescent="0.2">
      <c r="B52" s="9" t="s">
        <v>54</v>
      </c>
      <c r="C52" s="9"/>
      <c r="D52" s="9"/>
      <c r="E52" s="26"/>
      <c r="F52" s="9">
        <f>SUM(F49:F51)</f>
        <v>840</v>
      </c>
      <c r="G52" s="9">
        <f t="shared" ref="G52:K52" si="7">SUM(G49:G51)</f>
        <v>812.25040000000001</v>
      </c>
      <c r="H52" s="9">
        <f t="shared" si="7"/>
        <v>940.82529999999986</v>
      </c>
      <c r="I52" s="9">
        <f t="shared" si="7"/>
        <v>1091.0360092000001</v>
      </c>
      <c r="J52" s="9">
        <f t="shared" si="7"/>
        <v>1249.1164533820004</v>
      </c>
      <c r="K52" s="9">
        <f t="shared" si="7"/>
        <v>1415.4036270066404</v>
      </c>
    </row>
    <row r="53" spans="2:11" x14ac:dyDescent="0.2">
      <c r="B53" s="3" t="s">
        <v>55</v>
      </c>
      <c r="E53" s="25"/>
      <c r="F53" s="3">
        <f>-F151</f>
        <v>0</v>
      </c>
      <c r="G53" s="3">
        <f t="shared" ref="G53:K53" ca="1" si="8">-G151</f>
        <v>-320.93451626278193</v>
      </c>
      <c r="H53" s="3">
        <f t="shared" ca="1" si="8"/>
        <v>-272.27316178610914</v>
      </c>
      <c r="I53" s="3">
        <f t="shared" ca="1" si="8"/>
        <v>-211.61340174231358</v>
      </c>
      <c r="J53" s="3">
        <f t="shared" ca="1" si="8"/>
        <v>-136.40292497118685</v>
      </c>
      <c r="K53" s="3">
        <f t="shared" ca="1" si="8"/>
        <v>-47.488168752200529</v>
      </c>
    </row>
    <row r="54" spans="2:11" x14ac:dyDescent="0.2">
      <c r="B54" s="3" t="s">
        <v>56</v>
      </c>
      <c r="E54" s="25"/>
      <c r="F54" s="3">
        <f>-F152</f>
        <v>0</v>
      </c>
      <c r="G54" s="3">
        <f t="shared" ref="G54:K54" si="9">-G152</f>
        <v>-214.20000000000002</v>
      </c>
      <c r="H54" s="3">
        <f t="shared" si="9"/>
        <v>-235.62</v>
      </c>
      <c r="I54" s="3">
        <f t="shared" si="9"/>
        <v>-259.18199999999996</v>
      </c>
      <c r="J54" s="3">
        <f t="shared" si="9"/>
        <v>-285.10019999999997</v>
      </c>
      <c r="K54" s="3">
        <f t="shared" si="9"/>
        <v>-313.61021999999997</v>
      </c>
    </row>
    <row r="55" spans="2:11" x14ac:dyDescent="0.2">
      <c r="B55" s="3" t="s">
        <v>57</v>
      </c>
      <c r="E55" s="25"/>
      <c r="F55" s="3">
        <v>0</v>
      </c>
      <c r="G55" s="3">
        <f t="shared" ref="G55:K55" si="10">-$H$24</f>
        <v>-12.852000000000002</v>
      </c>
      <c r="H55" s="3">
        <f t="shared" si="10"/>
        <v>-12.852000000000002</v>
      </c>
      <c r="I55" s="3">
        <f t="shared" si="10"/>
        <v>-12.852000000000002</v>
      </c>
      <c r="J55" s="3">
        <f t="shared" si="10"/>
        <v>-12.852000000000002</v>
      </c>
      <c r="K55" s="3">
        <f t="shared" si="10"/>
        <v>-12.852000000000002</v>
      </c>
    </row>
    <row r="56" spans="2:11" s="5" customFormat="1" x14ac:dyDescent="0.2">
      <c r="B56" s="9" t="s">
        <v>58</v>
      </c>
      <c r="C56" s="9"/>
      <c r="D56" s="9"/>
      <c r="E56" s="26"/>
      <c r="F56" s="9">
        <f>SUM(F52:F55)</f>
        <v>840</v>
      </c>
      <c r="G56" s="9">
        <f t="shared" ref="G56:K56" ca="1" si="11">SUM(G52:G55)</f>
        <v>264.26388373721807</v>
      </c>
      <c r="H56" s="9">
        <f t="shared" ca="1" si="11"/>
        <v>420.08013821389068</v>
      </c>
      <c r="I56" s="9">
        <f t="shared" ca="1" si="11"/>
        <v>607.38860745768659</v>
      </c>
      <c r="J56" s="9">
        <f t="shared" ca="1" si="11"/>
        <v>814.76132841081358</v>
      </c>
      <c r="K56" s="9">
        <f t="shared" ca="1" si="11"/>
        <v>1041.4532382544396</v>
      </c>
    </row>
    <row r="57" spans="2:11" x14ac:dyDescent="0.2">
      <c r="B57" s="3" t="s">
        <v>59</v>
      </c>
      <c r="E57" s="25"/>
      <c r="F57" s="3">
        <f>-F56*$E$7</f>
        <v>-168</v>
      </c>
      <c r="G57" s="3">
        <f t="shared" ref="G57:K57" ca="1" si="12">-G56*$E$7</f>
        <v>-52.852776747443613</v>
      </c>
      <c r="H57" s="3">
        <f t="shared" ca="1" si="12"/>
        <v>-84.016027642778141</v>
      </c>
      <c r="I57" s="3">
        <f t="shared" ca="1" si="12"/>
        <v>-121.47772149153732</v>
      </c>
      <c r="J57" s="3">
        <f t="shared" ca="1" si="12"/>
        <v>-162.95226568216273</v>
      </c>
      <c r="K57" s="3">
        <f t="shared" ca="1" si="12"/>
        <v>-208.29064765088793</v>
      </c>
    </row>
    <row r="58" spans="2:11" s="5" customFormat="1" ht="13.5" thickBot="1" x14ac:dyDescent="0.25">
      <c r="B58" s="6" t="s">
        <v>60</v>
      </c>
      <c r="C58" s="6"/>
      <c r="D58" s="6"/>
      <c r="E58" s="27"/>
      <c r="F58" s="6">
        <f>SUM(F56:F57)</f>
        <v>672</v>
      </c>
      <c r="G58" s="6">
        <f ca="1">SUM(G56:G57)</f>
        <v>211.41110698977445</v>
      </c>
      <c r="H58" s="6">
        <f t="shared" ref="H58:K58" ca="1" si="13">SUM(H56:H57)</f>
        <v>336.06411057111256</v>
      </c>
      <c r="I58" s="6">
        <f t="shared" ca="1" si="13"/>
        <v>485.91088596614929</v>
      </c>
      <c r="J58" s="6">
        <f t="shared" ca="1" si="13"/>
        <v>651.80906272865082</v>
      </c>
      <c r="K58" s="6">
        <f t="shared" ca="1" si="13"/>
        <v>833.16259060355173</v>
      </c>
    </row>
    <row r="59" spans="2:11" ht="13.5" thickTop="1" x14ac:dyDescent="0.2"/>
    <row r="60" spans="2:11" x14ac:dyDescent="0.2">
      <c r="B60" s="19" t="s">
        <v>61</v>
      </c>
    </row>
    <row r="61" spans="2:11" x14ac:dyDescent="0.2">
      <c r="B61" s="29" t="s">
        <v>63</v>
      </c>
      <c r="E61" s="74"/>
      <c r="F61" s="74"/>
      <c r="G61" s="17">
        <v>0.03</v>
      </c>
      <c r="H61" s="17">
        <v>0.03</v>
      </c>
      <c r="I61" s="17">
        <v>0.03</v>
      </c>
      <c r="J61" s="17">
        <v>0.03</v>
      </c>
      <c r="K61" s="17">
        <v>0.03</v>
      </c>
    </row>
    <row r="62" spans="2:11" x14ac:dyDescent="0.2">
      <c r="B62" s="29" t="s">
        <v>64</v>
      </c>
      <c r="E62" s="74"/>
      <c r="F62" s="74"/>
      <c r="G62" s="17">
        <v>0.38</v>
      </c>
      <c r="H62" s="16">
        <f>G62+1%</f>
        <v>0.39</v>
      </c>
      <c r="I62" s="16">
        <f t="shared" ref="I62:K62" si="14">H62+1%</f>
        <v>0.4</v>
      </c>
      <c r="J62" s="16">
        <f t="shared" si="14"/>
        <v>0.41000000000000003</v>
      </c>
      <c r="K62" s="16">
        <f t="shared" si="14"/>
        <v>0.42000000000000004</v>
      </c>
    </row>
    <row r="63" spans="2:11" x14ac:dyDescent="0.2">
      <c r="B63" s="29" t="s">
        <v>65</v>
      </c>
      <c r="E63" s="74"/>
      <c r="F63" s="74"/>
      <c r="G63" s="17">
        <v>0.218</v>
      </c>
      <c r="H63" s="16">
        <v>0.215</v>
      </c>
      <c r="I63" s="16">
        <f>H63-0.5%</f>
        <v>0.21</v>
      </c>
      <c r="J63" s="16">
        <f t="shared" ref="J63:K63" si="15">I63-0.5%</f>
        <v>0.20499999999999999</v>
      </c>
      <c r="K63" s="16">
        <f t="shared" si="15"/>
        <v>0.19999999999999998</v>
      </c>
    </row>
    <row r="65" spans="1:16" x14ac:dyDescent="0.2">
      <c r="A65" s="3" t="s">
        <v>0</v>
      </c>
      <c r="B65" s="4" t="s">
        <v>66</v>
      </c>
      <c r="C65" s="4"/>
      <c r="D65" s="4"/>
      <c r="E65" s="22">
        <v>45657</v>
      </c>
      <c r="F65" s="22">
        <f>EOMONTH(E65,12)</f>
        <v>46022</v>
      </c>
      <c r="G65" s="23">
        <f t="shared" ref="G65:K65" si="16">EOMONTH(F65,12)</f>
        <v>46387</v>
      </c>
      <c r="H65" s="23">
        <f t="shared" si="16"/>
        <v>46752</v>
      </c>
      <c r="I65" s="23">
        <f t="shared" si="16"/>
        <v>47118</v>
      </c>
      <c r="J65" s="23">
        <f t="shared" si="16"/>
        <v>47483</v>
      </c>
      <c r="K65" s="23">
        <f t="shared" si="16"/>
        <v>47848</v>
      </c>
      <c r="M65" s="33" t="s">
        <v>81</v>
      </c>
      <c r="N65" s="33" t="s">
        <v>82</v>
      </c>
      <c r="O65" s="33" t="s">
        <v>83</v>
      </c>
      <c r="P65" s="33" t="s">
        <v>84</v>
      </c>
    </row>
    <row r="66" spans="1:16" x14ac:dyDescent="0.2">
      <c r="B66" s="3" t="s">
        <v>67</v>
      </c>
      <c r="E66" s="31">
        <v>186.1</v>
      </c>
      <c r="F66" s="3">
        <f>P66</f>
        <v>100</v>
      </c>
      <c r="G66" s="3">
        <f ca="1">F66+G112</f>
        <v>100</v>
      </c>
      <c r="H66" s="3">
        <f t="shared" ref="H66:K66" ca="1" si="17">G66+H112</f>
        <v>100</v>
      </c>
      <c r="I66" s="3">
        <f t="shared" ca="1" si="17"/>
        <v>100</v>
      </c>
      <c r="J66" s="3">
        <f t="shared" ca="1" si="17"/>
        <v>100</v>
      </c>
      <c r="K66" s="3">
        <f t="shared" ca="1" si="17"/>
        <v>157.53268240409466</v>
      </c>
      <c r="M66" s="3">
        <v>0</v>
      </c>
      <c r="N66" s="3">
        <f>E10</f>
        <v>100</v>
      </c>
      <c r="P66" s="3">
        <f t="shared" ref="P66:P71" si="18">SUM(M66:O66)</f>
        <v>100</v>
      </c>
    </row>
    <row r="67" spans="1:16" x14ac:dyDescent="0.2">
      <c r="B67" s="3" t="s">
        <v>68</v>
      </c>
      <c r="E67" s="31">
        <v>587.4</v>
      </c>
      <c r="F67" s="3">
        <f>P67</f>
        <v>628.9</v>
      </c>
      <c r="G67" s="3">
        <f>G89/365*G45</f>
        <v>647.76699999999994</v>
      </c>
      <c r="H67" s="3">
        <f t="shared" ref="H67:K67" si="19">H89/365*H45</f>
        <v>667.20000999999991</v>
      </c>
      <c r="I67" s="3">
        <f t="shared" si="19"/>
        <v>687.21601029999988</v>
      </c>
      <c r="J67" s="3">
        <f t="shared" si="19"/>
        <v>707.83249060899993</v>
      </c>
      <c r="K67" s="3">
        <f t="shared" si="19"/>
        <v>729.06746532726993</v>
      </c>
      <c r="M67" s="34">
        <v>628.9</v>
      </c>
      <c r="P67" s="3">
        <f t="shared" si="18"/>
        <v>628.9</v>
      </c>
    </row>
    <row r="68" spans="1:16" x14ac:dyDescent="0.2">
      <c r="B68" s="3" t="s">
        <v>69</v>
      </c>
      <c r="E68" s="32">
        <v>1413</v>
      </c>
      <c r="F68" s="3">
        <f t="shared" ref="F68:F83" si="20">P68</f>
        <v>1272</v>
      </c>
      <c r="G68" s="3">
        <f>F68-G94-G104</f>
        <v>1261</v>
      </c>
      <c r="H68" s="3">
        <f t="shared" ref="H68:K68" si="21">G68-H94-H104</f>
        <v>1250</v>
      </c>
      <c r="I68" s="3">
        <f t="shared" si="21"/>
        <v>1239</v>
      </c>
      <c r="J68" s="3">
        <f t="shared" si="21"/>
        <v>1228</v>
      </c>
      <c r="K68" s="3">
        <f t="shared" si="21"/>
        <v>1217</v>
      </c>
      <c r="M68" s="3">
        <v>1272</v>
      </c>
      <c r="P68" s="3">
        <f t="shared" si="18"/>
        <v>1272</v>
      </c>
    </row>
    <row r="69" spans="1:16" x14ac:dyDescent="0.2">
      <c r="B69" s="3" t="s">
        <v>70</v>
      </c>
      <c r="E69" s="32">
        <v>5227.5</v>
      </c>
      <c r="F69" s="3">
        <f t="shared" si="20"/>
        <v>9022.6239999999998</v>
      </c>
      <c r="G69" s="3">
        <f>F69</f>
        <v>9022.6239999999998</v>
      </c>
      <c r="H69" s="3">
        <f t="shared" ref="H69:K69" si="22">G69</f>
        <v>9022.6239999999998</v>
      </c>
      <c r="I69" s="3">
        <f t="shared" si="22"/>
        <v>9022.6239999999998</v>
      </c>
      <c r="J69" s="3">
        <f t="shared" si="22"/>
        <v>9022.6239999999998</v>
      </c>
      <c r="K69" s="3">
        <f t="shared" si="22"/>
        <v>9022.6239999999998</v>
      </c>
      <c r="M69" s="3">
        <v>5301.3</v>
      </c>
      <c r="N69" s="3">
        <f>E42</f>
        <v>9022.623999999998</v>
      </c>
      <c r="O69" s="3">
        <f>-M69</f>
        <v>-5301.3</v>
      </c>
      <c r="P69" s="3">
        <f t="shared" si="18"/>
        <v>9022.6239999999998</v>
      </c>
    </row>
    <row r="70" spans="1:16" x14ac:dyDescent="0.2">
      <c r="B70" s="3" t="s">
        <v>71</v>
      </c>
      <c r="E70" s="32">
        <v>3318.9</v>
      </c>
      <c r="F70" s="3">
        <f t="shared" si="20"/>
        <v>4219.82</v>
      </c>
      <c r="G70" s="3">
        <f>F70-G95</f>
        <v>4121.7479999999996</v>
      </c>
      <c r="H70" s="3">
        <f t="shared" ref="H70:K70" si="23">G70-H95</f>
        <v>4023.6759999999995</v>
      </c>
      <c r="I70" s="3">
        <f t="shared" si="23"/>
        <v>3925.6039999999994</v>
      </c>
      <c r="J70" s="3">
        <f t="shared" si="23"/>
        <v>3827.5319999999992</v>
      </c>
      <c r="K70" s="3">
        <f t="shared" si="23"/>
        <v>3729.4599999999991</v>
      </c>
      <c r="M70" s="3">
        <v>3239.1</v>
      </c>
      <c r="N70" s="3">
        <f>-E40</f>
        <v>980.7199999999998</v>
      </c>
      <c r="P70" s="3">
        <f t="shared" si="18"/>
        <v>4219.82</v>
      </c>
    </row>
    <row r="71" spans="1:16" x14ac:dyDescent="0.2">
      <c r="B71" s="3" t="s">
        <v>72</v>
      </c>
      <c r="E71" s="28">
        <v>0</v>
      </c>
      <c r="F71" s="3">
        <f t="shared" si="20"/>
        <v>128.52000000000001</v>
      </c>
      <c r="G71" s="3">
        <f>F71-G96</f>
        <v>115.66800000000001</v>
      </c>
      <c r="H71" s="3">
        <f t="shared" ref="H71:K71" si="24">G71-H96</f>
        <v>102.816</v>
      </c>
      <c r="I71" s="3">
        <f t="shared" si="24"/>
        <v>89.963999999999999</v>
      </c>
      <c r="J71" s="3">
        <f t="shared" si="24"/>
        <v>77.111999999999995</v>
      </c>
      <c r="K71" s="3">
        <f t="shared" si="24"/>
        <v>64.259999999999991</v>
      </c>
      <c r="M71" s="3">
        <v>0</v>
      </c>
      <c r="N71" s="3">
        <f>J30</f>
        <v>128.52000000000001</v>
      </c>
      <c r="P71" s="3">
        <f t="shared" si="18"/>
        <v>128.52000000000001</v>
      </c>
    </row>
    <row r="72" spans="1:16" x14ac:dyDescent="0.2">
      <c r="B72" s="3" t="s">
        <v>85</v>
      </c>
      <c r="E72" s="28">
        <f>1239.9+125.6+971.9</f>
        <v>2337.4</v>
      </c>
      <c r="F72" s="3">
        <f t="shared" si="20"/>
        <v>0</v>
      </c>
      <c r="G72" s="25"/>
      <c r="H72" s="25"/>
      <c r="I72" s="25"/>
      <c r="J72" s="25"/>
      <c r="K72" s="25"/>
      <c r="M72" s="25"/>
      <c r="N72" s="25"/>
      <c r="O72" s="25"/>
      <c r="P72" s="25"/>
    </row>
    <row r="73" spans="1:16" s="5" customFormat="1" ht="13.5" thickBot="1" x14ac:dyDescent="0.25">
      <c r="B73" s="6" t="s">
        <v>73</v>
      </c>
      <c r="C73" s="6"/>
      <c r="D73" s="6"/>
      <c r="E73" s="35">
        <f>SUM(E66:E72)</f>
        <v>13070.3</v>
      </c>
      <c r="F73" s="6">
        <f>SUM(F66:F72)</f>
        <v>15371.864</v>
      </c>
      <c r="G73" s="6">
        <f t="shared" ref="G73:K73" ca="1" si="25">SUM(G66:G72)</f>
        <v>15268.806999999999</v>
      </c>
      <c r="H73" s="6">
        <f t="shared" ca="1" si="25"/>
        <v>15166.31601</v>
      </c>
      <c r="I73" s="6">
        <f t="shared" ca="1" si="25"/>
        <v>15064.4080103</v>
      </c>
      <c r="J73" s="6">
        <f t="shared" ca="1" si="25"/>
        <v>14963.100490608998</v>
      </c>
      <c r="K73" s="6">
        <f t="shared" ca="1" si="25"/>
        <v>14919.944147731365</v>
      </c>
      <c r="M73" s="6">
        <f>SUM(M66:M72)</f>
        <v>10441.300000000001</v>
      </c>
      <c r="N73" s="6"/>
      <c r="O73" s="6"/>
      <c r="P73" s="6">
        <f>SUM(P66:P72)</f>
        <v>15371.864</v>
      </c>
    </row>
    <row r="74" spans="1:16" ht="13.5" thickTop="1" x14ac:dyDescent="0.2">
      <c r="F74" s="18"/>
    </row>
    <row r="75" spans="1:16" x14ac:dyDescent="0.2">
      <c r="B75" s="3" t="s">
        <v>74</v>
      </c>
      <c r="E75" s="28">
        <v>1238.0999999999999</v>
      </c>
      <c r="F75" s="3">
        <f t="shared" si="20"/>
        <v>1259.4000000000001</v>
      </c>
      <c r="G75" s="3">
        <f>G90/365*(-G46)</f>
        <v>1294.983386440678</v>
      </c>
      <c r="H75" s="3">
        <f t="shared" ref="H75:K75" si="26">H90/365*(-H46)</f>
        <v>1312.3194543559321</v>
      </c>
      <c r="I75" s="3">
        <f t="shared" si="26"/>
        <v>1329.5302012983052</v>
      </c>
      <c r="J75" s="3">
        <f t="shared" si="26"/>
        <v>1346.5925055482999</v>
      </c>
      <c r="K75" s="3">
        <f t="shared" si="26"/>
        <v>1363.4819708721261</v>
      </c>
      <c r="M75" s="3">
        <v>1259.4000000000001</v>
      </c>
      <c r="P75" s="3">
        <f>SUM(M75:O75)</f>
        <v>1259.4000000000001</v>
      </c>
    </row>
    <row r="76" spans="1:16" x14ac:dyDescent="0.2">
      <c r="B76" s="3" t="s">
        <v>75</v>
      </c>
      <c r="E76" s="28">
        <v>840.5</v>
      </c>
      <c r="F76" s="3">
        <f t="shared" si="20"/>
        <v>1031.944</v>
      </c>
      <c r="G76" s="3">
        <f>F76+G98</f>
        <v>1012.3295999999999</v>
      </c>
      <c r="H76" s="3">
        <f t="shared" ref="H76:K76" si="27">G76+H98</f>
        <v>992.71519999999987</v>
      </c>
      <c r="I76" s="3">
        <f t="shared" si="27"/>
        <v>973.10079999999982</v>
      </c>
      <c r="J76" s="3">
        <f t="shared" si="27"/>
        <v>953.48639999999978</v>
      </c>
      <c r="K76" s="3">
        <f t="shared" si="27"/>
        <v>933.87199999999973</v>
      </c>
      <c r="M76" s="3">
        <v>835.8</v>
      </c>
      <c r="O76" s="3">
        <f>E41</f>
        <v>196.14399999999998</v>
      </c>
      <c r="P76" s="3">
        <f>SUM(M76:O76)</f>
        <v>1031.944</v>
      </c>
    </row>
    <row r="77" spans="1:16" x14ac:dyDescent="0.2">
      <c r="B77" s="3" t="s">
        <v>17</v>
      </c>
      <c r="E77" s="28">
        <v>0</v>
      </c>
      <c r="F77" s="3">
        <f t="shared" si="20"/>
        <v>4284</v>
      </c>
      <c r="G77" s="3">
        <f ca="1">F77+G109</f>
        <v>3739.3629065695477</v>
      </c>
      <c r="H77" s="3">
        <f t="shared" ref="H77:K77" ca="1" si="28">G77+H109</f>
        <v>3067.4661380831812</v>
      </c>
      <c r="I77" s="3">
        <f t="shared" ca="1" si="28"/>
        <v>2222.8689054746587</v>
      </c>
      <c r="J77" s="3">
        <f t="shared" ca="1" si="28"/>
        <v>1187.2042188050132</v>
      </c>
      <c r="K77" s="3">
        <f t="shared" ca="1" si="28"/>
        <v>0</v>
      </c>
      <c r="M77" s="3">
        <v>0</v>
      </c>
      <c r="O77" s="3">
        <f>E28</f>
        <v>4284</v>
      </c>
      <c r="P77" s="3">
        <f t="shared" ref="P77:P78" si="29">SUM(M77:O77)</f>
        <v>4284</v>
      </c>
    </row>
    <row r="78" spans="1:16" x14ac:dyDescent="0.2">
      <c r="B78" s="3" t="s">
        <v>76</v>
      </c>
      <c r="E78" s="28">
        <v>0</v>
      </c>
      <c r="F78" s="3">
        <f t="shared" si="20"/>
        <v>2142</v>
      </c>
      <c r="G78" s="3">
        <f>F78+G144</f>
        <v>2356.1999999999998</v>
      </c>
      <c r="H78" s="3">
        <f t="shared" ref="H78:K78" si="30">G78+H144</f>
        <v>2591.8199999999997</v>
      </c>
      <c r="I78" s="3">
        <f t="shared" si="30"/>
        <v>2851.0019999999995</v>
      </c>
      <c r="J78" s="3">
        <f t="shared" si="30"/>
        <v>3136.1021999999994</v>
      </c>
      <c r="K78" s="3">
        <f t="shared" si="30"/>
        <v>3449.7124199999994</v>
      </c>
      <c r="M78" s="3">
        <v>0</v>
      </c>
      <c r="O78" s="3">
        <f>E29</f>
        <v>2142</v>
      </c>
      <c r="P78" s="3">
        <f t="shared" si="29"/>
        <v>2142</v>
      </c>
    </row>
    <row r="79" spans="1:16" x14ac:dyDescent="0.2">
      <c r="B79" s="3" t="s">
        <v>86</v>
      </c>
      <c r="E79" s="28">
        <f>E80-E75-E76</f>
        <v>5694.9</v>
      </c>
      <c r="F79" s="36">
        <f t="shared" si="20"/>
        <v>0</v>
      </c>
      <c r="G79" s="25"/>
      <c r="H79" s="25"/>
      <c r="I79" s="25"/>
      <c r="J79" s="25"/>
      <c r="K79" s="25"/>
      <c r="M79" s="25"/>
      <c r="N79" s="25"/>
      <c r="O79" s="25"/>
      <c r="P79" s="25"/>
    </row>
    <row r="80" spans="1:16" s="5" customFormat="1" x14ac:dyDescent="0.2">
      <c r="B80" s="9" t="s">
        <v>77</v>
      </c>
      <c r="C80" s="9"/>
      <c r="D80" s="9"/>
      <c r="E80" s="37">
        <v>7773.5</v>
      </c>
      <c r="F80" s="9">
        <f>SUM(F75:F79)</f>
        <v>8717.344000000001</v>
      </c>
      <c r="G80" s="9">
        <f ca="1">SUM(G75:G79)</f>
        <v>8402.8758930102267</v>
      </c>
      <c r="H80" s="9">
        <f t="shared" ref="H80:K80" ca="1" si="31">SUM(H75:H79)</f>
        <v>7964.3207924391127</v>
      </c>
      <c r="I80" s="9">
        <f t="shared" ca="1" si="31"/>
        <v>7376.5019067729636</v>
      </c>
      <c r="J80" s="9">
        <f t="shared" ca="1" si="31"/>
        <v>6623.3853243533122</v>
      </c>
      <c r="K80" s="9">
        <f t="shared" ca="1" si="31"/>
        <v>5747.0663908721253</v>
      </c>
      <c r="M80" s="9">
        <f>SUM(M75:M79)</f>
        <v>2095.1999999999998</v>
      </c>
      <c r="N80" s="9"/>
      <c r="O80" s="9"/>
      <c r="P80" s="9">
        <f>SUM(P75:P79)</f>
        <v>8717.344000000001</v>
      </c>
    </row>
    <row r="82" spans="1:16" x14ac:dyDescent="0.2">
      <c r="B82" s="3" t="s">
        <v>78</v>
      </c>
      <c r="E82" s="28">
        <v>5291</v>
      </c>
      <c r="F82" s="3">
        <f t="shared" si="20"/>
        <v>6654.52</v>
      </c>
      <c r="G82" s="3">
        <f ca="1">F82+G93</f>
        <v>6865.9311069897749</v>
      </c>
      <c r="H82" s="3">
        <f t="shared" ref="H82:K82" ca="1" si="32">G82+H93</f>
        <v>7201.9952175608878</v>
      </c>
      <c r="I82" s="3">
        <f t="shared" ca="1" si="32"/>
        <v>7687.906103527037</v>
      </c>
      <c r="J82" s="3">
        <f t="shared" ca="1" si="32"/>
        <v>8339.715166255688</v>
      </c>
      <c r="K82" s="3">
        <f t="shared" ca="1" si="32"/>
        <v>9172.8777568592395</v>
      </c>
      <c r="M82" s="3">
        <f>M73-M80</f>
        <v>8346.1000000000022</v>
      </c>
      <c r="N82" s="3">
        <f>-M82-J29</f>
        <v>-8474.6200000000026</v>
      </c>
      <c r="O82" s="3">
        <f>SUM(E31:E32)</f>
        <v>6783.0400000000009</v>
      </c>
      <c r="P82" s="3">
        <f t="shared" ref="P82" si="33">SUM(M82:O82)</f>
        <v>6654.52</v>
      </c>
    </row>
    <row r="83" spans="1:16" x14ac:dyDescent="0.2">
      <c r="B83" s="3" t="s">
        <v>87</v>
      </c>
      <c r="E83" s="28">
        <f>E84-E82</f>
        <v>7779.2999999999993</v>
      </c>
      <c r="F83" s="3">
        <f t="shared" si="20"/>
        <v>0</v>
      </c>
      <c r="G83" s="25"/>
      <c r="H83" s="25"/>
      <c r="I83" s="25"/>
      <c r="J83" s="25"/>
      <c r="K83" s="25"/>
      <c r="M83" s="25"/>
      <c r="N83" s="25"/>
      <c r="O83" s="25"/>
      <c r="P83" s="25"/>
    </row>
    <row r="84" spans="1:16" s="5" customFormat="1" ht="13.5" thickBot="1" x14ac:dyDescent="0.25">
      <c r="B84" s="6" t="s">
        <v>79</v>
      </c>
      <c r="C84" s="6"/>
      <c r="D84" s="6"/>
      <c r="E84" s="35">
        <v>13070.3</v>
      </c>
      <c r="F84" s="6">
        <f>SUM(F80:F82)</f>
        <v>15371.864000000001</v>
      </c>
      <c r="G84" s="6">
        <f ca="1">G82+G80</f>
        <v>15268.807000000001</v>
      </c>
      <c r="H84" s="6">
        <f t="shared" ref="H84:K84" ca="1" si="34">H82+H80</f>
        <v>15166.31601</v>
      </c>
      <c r="I84" s="6">
        <f t="shared" ca="1" si="34"/>
        <v>15064.408010300001</v>
      </c>
      <c r="J84" s="6">
        <f t="shared" ca="1" si="34"/>
        <v>14963.100490609</v>
      </c>
      <c r="K84" s="6">
        <f t="shared" ca="1" si="34"/>
        <v>14919.944147731365</v>
      </c>
      <c r="M84" s="6">
        <f>M82+M80</f>
        <v>10441.300000000003</v>
      </c>
      <c r="N84" s="6"/>
      <c r="O84" s="6"/>
      <c r="P84" s="6">
        <f>P82+P80</f>
        <v>15371.864000000001</v>
      </c>
    </row>
    <row r="85" spans="1:16" ht="13.5" thickTop="1" x14ac:dyDescent="0.2"/>
    <row r="86" spans="1:16" x14ac:dyDescent="0.2">
      <c r="B86" s="30" t="s">
        <v>80</v>
      </c>
      <c r="C86" s="30"/>
      <c r="D86" s="30"/>
      <c r="E86" s="30">
        <f t="shared" ref="E86:K86" si="35">E73-E84</f>
        <v>0</v>
      </c>
      <c r="F86" s="30">
        <f t="shared" si="35"/>
        <v>0</v>
      </c>
      <c r="G86" s="30">
        <f t="shared" ca="1" si="35"/>
        <v>0</v>
      </c>
      <c r="H86" s="30">
        <f t="shared" ca="1" si="35"/>
        <v>0</v>
      </c>
      <c r="I86" s="30">
        <f t="shared" ca="1" si="35"/>
        <v>0</v>
      </c>
      <c r="J86" s="30">
        <f t="shared" ca="1" si="35"/>
        <v>0</v>
      </c>
      <c r="K86" s="30">
        <f t="shared" ca="1" si="35"/>
        <v>0</v>
      </c>
      <c r="M86" s="30">
        <f>M73-M84</f>
        <v>0</v>
      </c>
      <c r="P86" s="30">
        <f>P73-P84</f>
        <v>0</v>
      </c>
    </row>
    <row r="87" spans="1:16" x14ac:dyDescent="0.2">
      <c r="B87" s="30"/>
      <c r="C87" s="30"/>
      <c r="D87" s="30"/>
      <c r="E87" s="30"/>
      <c r="F87" s="30"/>
      <c r="G87" s="30"/>
      <c r="H87" s="30"/>
      <c r="I87" s="30"/>
      <c r="J87" s="30"/>
      <c r="K87" s="30"/>
      <c r="M87" s="30"/>
      <c r="P87" s="30"/>
    </row>
    <row r="88" spans="1:16" x14ac:dyDescent="0.2">
      <c r="B88" s="8" t="s">
        <v>88</v>
      </c>
      <c r="C88" s="30"/>
      <c r="D88" s="30"/>
      <c r="E88" s="30"/>
      <c r="F88" s="30"/>
      <c r="G88" s="30"/>
      <c r="H88" s="30"/>
      <c r="I88" s="30"/>
      <c r="J88" s="30"/>
      <c r="K88" s="30"/>
      <c r="M88" s="30"/>
      <c r="P88" s="30"/>
    </row>
    <row r="89" spans="1:16" x14ac:dyDescent="0.2">
      <c r="B89" s="7" t="s">
        <v>89</v>
      </c>
      <c r="C89" s="30"/>
      <c r="D89" s="30"/>
      <c r="E89" s="7">
        <f>E67/E45*365</f>
        <v>31.890673806336455</v>
      </c>
      <c r="F89" s="7">
        <f>F67/F45*365</f>
        <v>33.55972222222222</v>
      </c>
      <c r="G89" s="7">
        <f>F89</f>
        <v>33.55972222222222</v>
      </c>
      <c r="H89" s="7">
        <f t="shared" ref="H89:K90" si="36">G89</f>
        <v>33.55972222222222</v>
      </c>
      <c r="I89" s="7">
        <f t="shared" si="36"/>
        <v>33.55972222222222</v>
      </c>
      <c r="J89" s="7">
        <f t="shared" si="36"/>
        <v>33.55972222222222</v>
      </c>
      <c r="K89" s="7">
        <f t="shared" si="36"/>
        <v>33.55972222222222</v>
      </c>
      <c r="M89" s="30"/>
      <c r="P89" s="30"/>
    </row>
    <row r="90" spans="1:16" x14ac:dyDescent="0.2">
      <c r="B90" s="7" t="s">
        <v>74</v>
      </c>
      <c r="C90" s="30"/>
      <c r="D90" s="30"/>
      <c r="E90" s="7">
        <f>E75/(-E46)*365</f>
        <v>109.36749757986446</v>
      </c>
      <c r="F90" s="7">
        <f t="shared" ref="F90" si="37">F75/(-F46)*365</f>
        <v>108.21115819209041</v>
      </c>
      <c r="G90" s="7">
        <f>F90</f>
        <v>108.21115819209041</v>
      </c>
      <c r="H90" s="7">
        <f t="shared" si="36"/>
        <v>108.21115819209041</v>
      </c>
      <c r="I90" s="7">
        <f t="shared" si="36"/>
        <v>108.21115819209041</v>
      </c>
      <c r="J90" s="7">
        <f t="shared" si="36"/>
        <v>108.21115819209041</v>
      </c>
      <c r="K90" s="7">
        <f t="shared" si="36"/>
        <v>108.21115819209041</v>
      </c>
      <c r="M90" s="30"/>
      <c r="P90" s="30"/>
    </row>
    <row r="92" spans="1:16" x14ac:dyDescent="0.2">
      <c r="A92" s="3" t="s">
        <v>0</v>
      </c>
      <c r="B92" s="4" t="s">
        <v>90</v>
      </c>
      <c r="C92" s="4"/>
      <c r="D92" s="4"/>
      <c r="E92" s="22">
        <v>45657</v>
      </c>
      <c r="F92" s="22">
        <f>EOMONTH(E92,12)</f>
        <v>46022</v>
      </c>
      <c r="G92" s="23">
        <f t="shared" ref="G92" si="38">EOMONTH(F92,12)</f>
        <v>46387</v>
      </c>
      <c r="H92" s="23">
        <f t="shared" ref="H92" si="39">EOMONTH(G92,12)</f>
        <v>46752</v>
      </c>
      <c r="I92" s="23">
        <f t="shared" ref="I92" si="40">EOMONTH(H92,12)</f>
        <v>47118</v>
      </c>
      <c r="J92" s="23">
        <f t="shared" ref="J92" si="41">EOMONTH(I92,12)</f>
        <v>47483</v>
      </c>
      <c r="K92" s="23">
        <f t="shared" ref="K92" si="42">EOMONTH(J92,12)</f>
        <v>47848</v>
      </c>
    </row>
    <row r="93" spans="1:16" s="5" customFormat="1" x14ac:dyDescent="0.2">
      <c r="B93" s="5" t="s">
        <v>60</v>
      </c>
      <c r="E93" s="39"/>
      <c r="F93" s="39"/>
      <c r="G93" s="5">
        <f ca="1">G58</f>
        <v>211.41110698977445</v>
      </c>
      <c r="H93" s="5">
        <f t="shared" ref="H93:K93" ca="1" si="43">H58</f>
        <v>336.06411057111256</v>
      </c>
      <c r="I93" s="5">
        <f t="shared" ca="1" si="43"/>
        <v>485.91088596614929</v>
      </c>
      <c r="J93" s="5">
        <f t="shared" ca="1" si="43"/>
        <v>651.80906272865082</v>
      </c>
      <c r="K93" s="5">
        <f t="shared" ca="1" si="43"/>
        <v>833.16259060355173</v>
      </c>
    </row>
    <row r="94" spans="1:16" x14ac:dyDescent="0.2">
      <c r="B94" s="3" t="s">
        <v>91</v>
      </c>
      <c r="E94" s="25"/>
      <c r="F94" s="25"/>
      <c r="G94" s="3">
        <f t="shared" ref="G94:K94" si="44">-G50</f>
        <v>231</v>
      </c>
      <c r="H94" s="3">
        <f t="shared" si="44"/>
        <v>231</v>
      </c>
      <c r="I94" s="3">
        <f t="shared" si="44"/>
        <v>231</v>
      </c>
      <c r="J94" s="3">
        <f t="shared" si="44"/>
        <v>231</v>
      </c>
      <c r="K94" s="3">
        <f t="shared" si="44"/>
        <v>231</v>
      </c>
    </row>
    <row r="95" spans="1:16" x14ac:dyDescent="0.2">
      <c r="B95" s="3" t="s">
        <v>92</v>
      </c>
      <c r="E95" s="25"/>
      <c r="F95" s="25"/>
      <c r="G95" s="3">
        <f>-G51</f>
        <v>98.071999999999974</v>
      </c>
      <c r="H95" s="3">
        <f>-H51</f>
        <v>98.071999999999974</v>
      </c>
      <c r="I95" s="3">
        <f>-I51</f>
        <v>98.071999999999974</v>
      </c>
      <c r="J95" s="3">
        <f>-J51</f>
        <v>98.071999999999974</v>
      </c>
      <c r="K95" s="3">
        <f>-K51</f>
        <v>98.071999999999974</v>
      </c>
    </row>
    <row r="96" spans="1:16" x14ac:dyDescent="0.2">
      <c r="B96" s="3" t="s">
        <v>93</v>
      </c>
      <c r="E96" s="25"/>
      <c r="F96" s="25"/>
      <c r="G96" s="3">
        <f>-G55</f>
        <v>12.852000000000002</v>
      </c>
      <c r="H96" s="3">
        <f t="shared" ref="H96:K96" si="45">-H55</f>
        <v>12.852000000000002</v>
      </c>
      <c r="I96" s="3">
        <f t="shared" si="45"/>
        <v>12.852000000000002</v>
      </c>
      <c r="J96" s="3">
        <f t="shared" si="45"/>
        <v>12.852000000000002</v>
      </c>
      <c r="K96" s="3">
        <f t="shared" si="45"/>
        <v>12.852000000000002</v>
      </c>
    </row>
    <row r="97" spans="2:11" x14ac:dyDescent="0.2">
      <c r="B97" s="3" t="s">
        <v>94</v>
      </c>
      <c r="E97" s="25"/>
      <c r="F97" s="25"/>
      <c r="G97" s="3">
        <f>G144</f>
        <v>214.20000000000002</v>
      </c>
      <c r="H97" s="3">
        <f t="shared" ref="H97:K97" si="46">H144</f>
        <v>235.62</v>
      </c>
      <c r="I97" s="3">
        <f t="shared" si="46"/>
        <v>259.18199999999996</v>
      </c>
      <c r="J97" s="3">
        <f t="shared" si="46"/>
        <v>285.10019999999997</v>
      </c>
      <c r="K97" s="3">
        <f t="shared" si="46"/>
        <v>313.61021999999997</v>
      </c>
    </row>
    <row r="98" spans="2:11" x14ac:dyDescent="0.2">
      <c r="B98" s="3" t="s">
        <v>95</v>
      </c>
      <c r="E98" s="25"/>
      <c r="F98" s="25"/>
      <c r="G98" s="3">
        <f t="shared" ref="G98:K98" si="47">-$H$41</f>
        <v>-19.614399999999996</v>
      </c>
      <c r="H98" s="3">
        <f t="shared" si="47"/>
        <v>-19.614399999999996</v>
      </c>
      <c r="I98" s="3">
        <f t="shared" si="47"/>
        <v>-19.614399999999996</v>
      </c>
      <c r="J98" s="3">
        <f t="shared" si="47"/>
        <v>-19.614399999999996</v>
      </c>
      <c r="K98" s="3">
        <f t="shared" si="47"/>
        <v>-19.614399999999996</v>
      </c>
    </row>
    <row r="99" spans="2:11" x14ac:dyDescent="0.2">
      <c r="B99" s="38" t="s">
        <v>96</v>
      </c>
      <c r="E99" s="25"/>
      <c r="F99" s="25"/>
    </row>
    <row r="100" spans="2:11" x14ac:dyDescent="0.2">
      <c r="B100" s="3" t="s">
        <v>97</v>
      </c>
      <c r="E100" s="25"/>
      <c r="F100" s="25"/>
      <c r="G100" s="3">
        <f t="shared" ref="F100:K100" si="48">F67-G67</f>
        <v>-18.866999999999962</v>
      </c>
      <c r="H100" s="3">
        <f t="shared" si="48"/>
        <v>-19.433009999999967</v>
      </c>
      <c r="I100" s="3">
        <f t="shared" si="48"/>
        <v>-20.016000299999973</v>
      </c>
      <c r="J100" s="3">
        <f t="shared" si="48"/>
        <v>-20.616480309000053</v>
      </c>
      <c r="K100" s="3">
        <f t="shared" si="48"/>
        <v>-21.234974718269996</v>
      </c>
    </row>
    <row r="101" spans="2:11" x14ac:dyDescent="0.2">
      <c r="B101" s="3" t="s">
        <v>98</v>
      </c>
      <c r="E101" s="25"/>
      <c r="F101" s="25"/>
      <c r="G101" s="3">
        <f t="shared" ref="F101:K101" si="49">G75-F75</f>
        <v>35.583386440677941</v>
      </c>
      <c r="H101" s="3">
        <f t="shared" si="49"/>
        <v>17.336067915254034</v>
      </c>
      <c r="I101" s="3">
        <f t="shared" si="49"/>
        <v>17.210746942373135</v>
      </c>
      <c r="J101" s="3">
        <f t="shared" si="49"/>
        <v>17.062304249994668</v>
      </c>
      <c r="K101" s="3">
        <f t="shared" si="49"/>
        <v>16.889465323826244</v>
      </c>
    </row>
    <row r="102" spans="2:11" x14ac:dyDescent="0.2">
      <c r="B102" s="9" t="s">
        <v>99</v>
      </c>
      <c r="C102" s="9"/>
      <c r="D102" s="9"/>
      <c r="E102" s="26"/>
      <c r="F102" s="26"/>
      <c r="G102" s="9">
        <f t="shared" ref="G102:K102" ca="1" si="50">SUM(G93:G101)</f>
        <v>764.63709343045241</v>
      </c>
      <c r="H102" s="9">
        <f t="shared" ca="1" si="50"/>
        <v>891.89676848636657</v>
      </c>
      <c r="I102" s="9">
        <f t="shared" ca="1" si="50"/>
        <v>1064.5972326085225</v>
      </c>
      <c r="J102" s="9">
        <f t="shared" ca="1" si="50"/>
        <v>1255.6646866696456</v>
      </c>
      <c r="K102" s="9">
        <f t="shared" ca="1" si="50"/>
        <v>1464.7369012091081</v>
      </c>
    </row>
    <row r="103" spans="2:11" x14ac:dyDescent="0.2">
      <c r="E103" s="25"/>
      <c r="F103" s="25"/>
    </row>
    <row r="104" spans="2:11" x14ac:dyDescent="0.2">
      <c r="B104" s="3" t="s">
        <v>100</v>
      </c>
      <c r="E104" s="25"/>
      <c r="F104" s="81"/>
      <c r="G104" s="28">
        <v>-220</v>
      </c>
      <c r="H104" s="28">
        <v>-220</v>
      </c>
      <c r="I104" s="28">
        <v>-220</v>
      </c>
      <c r="J104" s="28">
        <v>-220</v>
      </c>
      <c r="K104" s="28">
        <v>-220</v>
      </c>
    </row>
    <row r="105" spans="2:11" s="5" customFormat="1" x14ac:dyDescent="0.2">
      <c r="B105" s="9" t="s">
        <v>101</v>
      </c>
      <c r="C105" s="9"/>
      <c r="D105" s="9"/>
      <c r="E105" s="26"/>
      <c r="F105" s="26"/>
      <c r="G105" s="9">
        <f t="shared" ref="G105:K105" si="51">SUM(G104)</f>
        <v>-220</v>
      </c>
      <c r="H105" s="9">
        <f t="shared" si="51"/>
        <v>-220</v>
      </c>
      <c r="I105" s="9">
        <f t="shared" si="51"/>
        <v>-220</v>
      </c>
      <c r="J105" s="9">
        <f t="shared" si="51"/>
        <v>-220</v>
      </c>
      <c r="K105" s="9">
        <f t="shared" si="51"/>
        <v>-220</v>
      </c>
    </row>
    <row r="106" spans="2:11" x14ac:dyDescent="0.2">
      <c r="E106" s="25"/>
      <c r="F106" s="25"/>
    </row>
    <row r="107" spans="2:11" x14ac:dyDescent="0.2">
      <c r="B107" s="38" t="s">
        <v>102</v>
      </c>
      <c r="E107" s="25"/>
      <c r="F107" s="25"/>
    </row>
    <row r="108" spans="2:11" x14ac:dyDescent="0.2">
      <c r="B108" s="3" t="s">
        <v>103</v>
      </c>
      <c r="E108" s="25"/>
      <c r="F108" s="25"/>
      <c r="G108" s="74">
        <f t="shared" ref="G108:K108" ca="1" si="52">G126</f>
        <v>0</v>
      </c>
      <c r="H108" s="74">
        <f t="shared" ca="1" si="52"/>
        <v>0</v>
      </c>
      <c r="I108" s="74">
        <f t="shared" ca="1" si="52"/>
        <v>0</v>
      </c>
      <c r="J108" s="74">
        <f t="shared" ca="1" si="52"/>
        <v>0</v>
      </c>
      <c r="K108" s="74">
        <f t="shared" ca="1" si="52"/>
        <v>0</v>
      </c>
    </row>
    <row r="109" spans="2:11" x14ac:dyDescent="0.2">
      <c r="B109" s="3" t="s">
        <v>17</v>
      </c>
      <c r="E109" s="25"/>
      <c r="F109" s="25"/>
      <c r="G109" s="74">
        <f t="shared" ref="G109:K109" ca="1" si="53">SUM(G136:G137)</f>
        <v>-544.63709343045241</v>
      </c>
      <c r="H109" s="74">
        <f t="shared" ca="1" si="53"/>
        <v>-671.89676848636657</v>
      </c>
      <c r="I109" s="74">
        <f t="shared" ca="1" si="53"/>
        <v>-844.59723260852252</v>
      </c>
      <c r="J109" s="74">
        <f t="shared" ca="1" si="53"/>
        <v>-1035.6646866696456</v>
      </c>
      <c r="K109" s="74">
        <f t="shared" ca="1" si="53"/>
        <v>-1187.2042188050132</v>
      </c>
    </row>
    <row r="110" spans="2:11" s="5" customFormat="1" x14ac:dyDescent="0.2">
      <c r="B110" s="9" t="s">
        <v>104</v>
      </c>
      <c r="C110" s="9"/>
      <c r="D110" s="9"/>
      <c r="E110" s="26"/>
      <c r="F110" s="26"/>
      <c r="G110" s="9">
        <f t="shared" ref="G110:K110" ca="1" si="54">SUM(G108:G109)</f>
        <v>-544.63709343045241</v>
      </c>
      <c r="H110" s="9">
        <f t="shared" ca="1" si="54"/>
        <v>-671.89676848636657</v>
      </c>
      <c r="I110" s="9">
        <f t="shared" ca="1" si="54"/>
        <v>-844.59723260852252</v>
      </c>
      <c r="J110" s="9">
        <f t="shared" ca="1" si="54"/>
        <v>-1035.6646866696456</v>
      </c>
      <c r="K110" s="9">
        <f t="shared" ca="1" si="54"/>
        <v>-1187.2042188050132</v>
      </c>
    </row>
    <row r="111" spans="2:11" x14ac:dyDescent="0.2">
      <c r="E111" s="25"/>
      <c r="F111" s="25"/>
    </row>
    <row r="112" spans="2:11" ht="13.5" thickBot="1" x14ac:dyDescent="0.25">
      <c r="B112" s="6" t="s">
        <v>105</v>
      </c>
      <c r="C112" s="6"/>
      <c r="D112" s="6"/>
      <c r="E112" s="27"/>
      <c r="F112" s="27"/>
      <c r="G112" s="6">
        <f t="shared" ref="G112:K112" ca="1" si="55">G110+G105+G102</f>
        <v>0</v>
      </c>
      <c r="H112" s="6">
        <f t="shared" ca="1" si="55"/>
        <v>0</v>
      </c>
      <c r="I112" s="6">
        <f t="shared" ca="1" si="55"/>
        <v>0</v>
      </c>
      <c r="J112" s="6">
        <f t="shared" ca="1" si="55"/>
        <v>0</v>
      </c>
      <c r="K112" s="6">
        <f t="shared" ca="1" si="55"/>
        <v>57.532682404094885</v>
      </c>
    </row>
    <row r="113" spans="1:11" ht="13.5" thickTop="1" x14ac:dyDescent="0.2"/>
    <row r="114" spans="1:11" x14ac:dyDescent="0.2">
      <c r="A114" s="3" t="s">
        <v>0</v>
      </c>
      <c r="B114" s="4" t="s">
        <v>106</v>
      </c>
      <c r="C114" s="4"/>
      <c r="D114" s="4"/>
      <c r="E114" s="22"/>
      <c r="F114" s="22"/>
      <c r="G114" s="23"/>
      <c r="H114" s="23"/>
      <c r="I114" s="23"/>
      <c r="J114" s="23"/>
      <c r="K114" s="23"/>
    </row>
    <row r="115" spans="1:11" x14ac:dyDescent="0.2">
      <c r="B115" s="40" t="s">
        <v>107</v>
      </c>
      <c r="C115" s="40"/>
      <c r="D115" s="40"/>
      <c r="E115" s="40"/>
      <c r="F115" s="40"/>
      <c r="G115" s="40"/>
      <c r="H115" s="40"/>
      <c r="I115" s="40"/>
      <c r="J115" s="40"/>
      <c r="K115" s="40"/>
    </row>
    <row r="116" spans="1:11" x14ac:dyDescent="0.2">
      <c r="B116" s="5" t="s">
        <v>108</v>
      </c>
      <c r="G116" s="3">
        <f t="shared" ref="G116:K116" ca="1" si="56">G105+G102</f>
        <v>544.63709343045241</v>
      </c>
      <c r="H116" s="3">
        <f t="shared" ca="1" si="56"/>
        <v>671.89676848636657</v>
      </c>
      <c r="I116" s="3">
        <f t="shared" ca="1" si="56"/>
        <v>844.59723260852252</v>
      </c>
      <c r="J116" s="3">
        <f t="shared" ca="1" si="56"/>
        <v>1035.6646866696456</v>
      </c>
      <c r="K116" s="3">
        <f t="shared" ca="1" si="56"/>
        <v>1244.7369012091081</v>
      </c>
    </row>
    <row r="117" spans="1:11" x14ac:dyDescent="0.2">
      <c r="B117" s="3" t="s">
        <v>109</v>
      </c>
      <c r="G117" s="3">
        <f t="shared" ref="G117:K117" si="57">G136</f>
        <v>-42.84</v>
      </c>
      <c r="H117" s="3">
        <f t="shared" ca="1" si="57"/>
        <v>-37.393629065695478</v>
      </c>
      <c r="I117" s="3">
        <f t="shared" ca="1" si="57"/>
        <v>-30.674661380831807</v>
      </c>
      <c r="J117" s="3">
        <f t="shared" ca="1" si="57"/>
        <v>-22.228689054746582</v>
      </c>
      <c r="K117" s="3">
        <f t="shared" ca="1" si="57"/>
        <v>-11.872042188050132</v>
      </c>
    </row>
    <row r="118" spans="1:11" x14ac:dyDescent="0.2">
      <c r="B118" s="9" t="s">
        <v>110</v>
      </c>
      <c r="C118" s="9"/>
      <c r="D118" s="9"/>
      <c r="E118" s="9"/>
      <c r="F118" s="9"/>
      <c r="G118" s="9">
        <f t="shared" ref="G118:K118" ca="1" si="58">SUM(G116:G117)</f>
        <v>501.79709343045238</v>
      </c>
      <c r="H118" s="9">
        <f t="shared" ca="1" si="58"/>
        <v>634.50313942067112</v>
      </c>
      <c r="I118" s="9">
        <f t="shared" ca="1" si="58"/>
        <v>813.9225712276907</v>
      </c>
      <c r="J118" s="9">
        <f t="shared" ca="1" si="58"/>
        <v>1013.435997614899</v>
      </c>
      <c r="K118" s="9">
        <f t="shared" ca="1" si="58"/>
        <v>1232.864859021058</v>
      </c>
    </row>
    <row r="119" spans="1:11" x14ac:dyDescent="0.2">
      <c r="B119" s="3" t="s">
        <v>111</v>
      </c>
      <c r="G119" s="3">
        <f t="shared" ref="G119:K119" ca="1" si="59">G126</f>
        <v>0</v>
      </c>
      <c r="H119" s="3">
        <f t="shared" ca="1" si="59"/>
        <v>0</v>
      </c>
      <c r="I119" s="3">
        <f t="shared" ca="1" si="59"/>
        <v>0</v>
      </c>
      <c r="J119" s="3">
        <f t="shared" ca="1" si="59"/>
        <v>0</v>
      </c>
      <c r="K119" s="3">
        <f t="shared" ca="1" si="59"/>
        <v>0</v>
      </c>
    </row>
    <row r="120" spans="1:11" s="5" customFormat="1" x14ac:dyDescent="0.2">
      <c r="B120" s="9" t="s">
        <v>113</v>
      </c>
      <c r="C120" s="9"/>
      <c r="D120" s="9"/>
      <c r="E120" s="9"/>
      <c r="F120" s="9"/>
      <c r="G120" s="9">
        <f t="shared" ref="G120:K120" ca="1" si="60">SUM(G118:G119)</f>
        <v>501.79709343045238</v>
      </c>
      <c r="H120" s="9">
        <f t="shared" ca="1" si="60"/>
        <v>634.50313942067112</v>
      </c>
      <c r="I120" s="9">
        <f t="shared" ca="1" si="60"/>
        <v>813.9225712276907</v>
      </c>
      <c r="J120" s="9">
        <f t="shared" ca="1" si="60"/>
        <v>1013.435997614899</v>
      </c>
      <c r="K120" s="9">
        <f t="shared" ca="1" si="60"/>
        <v>1232.864859021058</v>
      </c>
    </row>
    <row r="121" spans="1:11" x14ac:dyDescent="0.2">
      <c r="B121" s="3" t="s">
        <v>112</v>
      </c>
      <c r="G121" s="3">
        <f t="shared" ref="G121:K121" ca="1" si="61">G137</f>
        <v>-501.79709343045238</v>
      </c>
      <c r="H121" s="3">
        <f t="shared" ca="1" si="61"/>
        <v>-634.50313942067112</v>
      </c>
      <c r="I121" s="3">
        <f t="shared" ca="1" si="61"/>
        <v>-813.9225712276907</v>
      </c>
      <c r="J121" s="3">
        <f t="shared" ca="1" si="61"/>
        <v>-1013.435997614899</v>
      </c>
      <c r="K121" s="3">
        <f t="shared" ca="1" si="61"/>
        <v>-1175.3321766169631</v>
      </c>
    </row>
    <row r="122" spans="1:11" ht="13.5" thickBot="1" x14ac:dyDescent="0.25">
      <c r="B122" s="6" t="s">
        <v>114</v>
      </c>
      <c r="C122" s="6"/>
      <c r="D122" s="6"/>
      <c r="E122" s="6"/>
      <c r="F122" s="6"/>
      <c r="G122" s="6">
        <f t="shared" ref="G122:K122" ca="1" si="62">SUM(G120:G121)</f>
        <v>0</v>
      </c>
      <c r="H122" s="6">
        <f t="shared" ca="1" si="62"/>
        <v>0</v>
      </c>
      <c r="I122" s="6">
        <f t="shared" ca="1" si="62"/>
        <v>0</v>
      </c>
      <c r="J122" s="6">
        <f t="shared" ca="1" si="62"/>
        <v>0</v>
      </c>
      <c r="K122" s="6">
        <f t="shared" ca="1" si="62"/>
        <v>57.532682404094885</v>
      </c>
    </row>
    <row r="123" spans="1:11" ht="13.5" thickTop="1" x14ac:dyDescent="0.2"/>
    <row r="124" spans="1:11" x14ac:dyDescent="0.2">
      <c r="B124" s="40" t="s">
        <v>115</v>
      </c>
      <c r="C124" s="40"/>
      <c r="D124" s="40"/>
      <c r="E124" s="40"/>
      <c r="F124" s="40"/>
      <c r="G124" s="40">
        <f t="shared" ref="G124:K124" ca="1" si="63">G118</f>
        <v>501.79709343045238</v>
      </c>
      <c r="H124" s="40">
        <f t="shared" ca="1" si="63"/>
        <v>634.50313942067112</v>
      </c>
      <c r="I124" s="40">
        <f t="shared" ca="1" si="63"/>
        <v>813.9225712276907</v>
      </c>
      <c r="J124" s="40">
        <f t="shared" ca="1" si="63"/>
        <v>1013.435997614899</v>
      </c>
      <c r="K124" s="40">
        <f t="shared" ca="1" si="63"/>
        <v>1232.864859021058</v>
      </c>
    </row>
    <row r="125" spans="1:11" x14ac:dyDescent="0.2">
      <c r="B125" s="3" t="s">
        <v>116</v>
      </c>
      <c r="G125" s="3">
        <f>E127</f>
        <v>0</v>
      </c>
      <c r="H125" s="3">
        <f t="shared" ref="G125:K125" si="64">G127</f>
        <v>0</v>
      </c>
      <c r="I125" s="3">
        <f t="shared" si="64"/>
        <v>0</v>
      </c>
      <c r="J125" s="3">
        <f t="shared" si="64"/>
        <v>0</v>
      </c>
      <c r="K125" s="3">
        <f t="shared" si="64"/>
        <v>0</v>
      </c>
    </row>
    <row r="126" spans="1:11" x14ac:dyDescent="0.2">
      <c r="B126" s="3" t="s">
        <v>117</v>
      </c>
      <c r="G126" s="3">
        <f t="shared" ref="G126:K126" ca="1" si="65">MIN(G131,-MIN(G124,G125))</f>
        <v>0</v>
      </c>
      <c r="H126" s="3">
        <f t="shared" ca="1" si="65"/>
        <v>0</v>
      </c>
      <c r="I126" s="3">
        <f t="shared" ca="1" si="65"/>
        <v>0</v>
      </c>
      <c r="J126" s="3">
        <f t="shared" ca="1" si="65"/>
        <v>0</v>
      </c>
      <c r="K126" s="3">
        <f t="shared" ca="1" si="65"/>
        <v>0</v>
      </c>
    </row>
    <row r="127" spans="1:11" s="5" customFormat="1" x14ac:dyDescent="0.2">
      <c r="B127" s="9" t="s">
        <v>118</v>
      </c>
      <c r="C127" s="9"/>
      <c r="D127" s="9"/>
      <c r="E127" s="37">
        <v>0</v>
      </c>
      <c r="F127" s="37"/>
      <c r="G127" s="37">
        <v>0</v>
      </c>
      <c r="H127" s="37">
        <v>0</v>
      </c>
      <c r="I127" s="37">
        <v>0</v>
      </c>
      <c r="J127" s="37">
        <v>0</v>
      </c>
      <c r="K127" s="37">
        <v>0</v>
      </c>
    </row>
    <row r="128" spans="1:11" x14ac:dyDescent="0.2">
      <c r="B128" s="3" t="s">
        <v>119</v>
      </c>
      <c r="F128" s="46"/>
      <c r="G128" s="46">
        <v>0.08</v>
      </c>
      <c r="H128" s="46">
        <v>0.08</v>
      </c>
      <c r="I128" s="46">
        <v>0.08</v>
      </c>
      <c r="J128" s="46">
        <v>0.08</v>
      </c>
      <c r="K128" s="46">
        <v>0.08</v>
      </c>
    </row>
    <row r="129" spans="2:11" x14ac:dyDescent="0.2">
      <c r="B129" s="3" t="s">
        <v>120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</row>
    <row r="131" spans="2:11" x14ac:dyDescent="0.2">
      <c r="B131" s="3" t="s">
        <v>121</v>
      </c>
      <c r="F131" s="28"/>
      <c r="G131" s="28">
        <v>25</v>
      </c>
      <c r="H131" s="28">
        <v>25</v>
      </c>
      <c r="I131" s="28">
        <v>25</v>
      </c>
      <c r="J131" s="28">
        <v>25</v>
      </c>
      <c r="K131" s="28">
        <v>25</v>
      </c>
    </row>
    <row r="132" spans="2:11" x14ac:dyDescent="0.2">
      <c r="B132" s="3" t="s">
        <v>122</v>
      </c>
      <c r="G132" s="3">
        <f t="shared" ref="G132:K132" si="66">G131-G125</f>
        <v>25</v>
      </c>
      <c r="H132" s="3">
        <f t="shared" si="66"/>
        <v>25</v>
      </c>
      <c r="I132" s="3">
        <f t="shared" si="66"/>
        <v>25</v>
      </c>
      <c r="J132" s="3">
        <f t="shared" si="66"/>
        <v>25</v>
      </c>
      <c r="K132" s="3">
        <f t="shared" si="66"/>
        <v>25</v>
      </c>
    </row>
    <row r="134" spans="2:11" x14ac:dyDescent="0.2">
      <c r="B134" s="40" t="s">
        <v>123</v>
      </c>
      <c r="C134" s="40"/>
      <c r="D134" s="40"/>
      <c r="E134" s="40"/>
      <c r="F134" s="40"/>
      <c r="G134" s="40">
        <f t="shared" ref="G134:K134" ca="1" si="67">G120</f>
        <v>501.79709343045238</v>
      </c>
      <c r="H134" s="40">
        <f t="shared" ca="1" si="67"/>
        <v>634.50313942067112</v>
      </c>
      <c r="I134" s="40">
        <f t="shared" ca="1" si="67"/>
        <v>813.9225712276907</v>
      </c>
      <c r="J134" s="40">
        <f t="shared" ca="1" si="67"/>
        <v>1013.435997614899</v>
      </c>
      <c r="K134" s="40">
        <f t="shared" ca="1" si="67"/>
        <v>1232.864859021058</v>
      </c>
    </row>
    <row r="135" spans="2:11" x14ac:dyDescent="0.2">
      <c r="B135" s="3" t="s">
        <v>124</v>
      </c>
      <c r="E135" s="38" t="s">
        <v>131</v>
      </c>
      <c r="G135" s="3">
        <f>E138</f>
        <v>4284</v>
      </c>
      <c r="H135" s="3">
        <f t="shared" ref="H135:K135" ca="1" si="68">G138</f>
        <v>3739.3629065695477</v>
      </c>
      <c r="I135" s="3">
        <f t="shared" ca="1" si="68"/>
        <v>3067.4661380831808</v>
      </c>
      <c r="J135" s="3">
        <f t="shared" ca="1" si="68"/>
        <v>2222.8689054746583</v>
      </c>
      <c r="K135" s="3">
        <f t="shared" ca="1" si="68"/>
        <v>1187.2042188050127</v>
      </c>
    </row>
    <row r="136" spans="2:11" x14ac:dyDescent="0.2">
      <c r="B136" s="3" t="s">
        <v>125</v>
      </c>
      <c r="E136" s="44">
        <v>0.01</v>
      </c>
      <c r="G136" s="3">
        <f t="shared" ref="G136:K136" si="69">-$E$136*G135</f>
        <v>-42.84</v>
      </c>
      <c r="H136" s="3">
        <f t="shared" ca="1" si="69"/>
        <v>-37.393629065695478</v>
      </c>
      <c r="I136" s="3">
        <f t="shared" ca="1" si="69"/>
        <v>-30.674661380831807</v>
      </c>
      <c r="J136" s="3">
        <f t="shared" ca="1" si="69"/>
        <v>-22.228689054746582</v>
      </c>
      <c r="K136" s="3">
        <f t="shared" ca="1" si="69"/>
        <v>-11.872042188050127</v>
      </c>
    </row>
    <row r="137" spans="2:11" x14ac:dyDescent="0.2">
      <c r="B137" s="3" t="s">
        <v>112</v>
      </c>
      <c r="G137" s="3">
        <f t="shared" ref="G137:K137" ca="1" si="70">-MIN(G134,G135+G136)</f>
        <v>-501.79709343045238</v>
      </c>
      <c r="H137" s="3">
        <f t="shared" ca="1" si="70"/>
        <v>-634.50313942067112</v>
      </c>
      <c r="I137" s="3">
        <f t="shared" ca="1" si="70"/>
        <v>-813.9225712276907</v>
      </c>
      <c r="J137" s="3">
        <f t="shared" ca="1" si="70"/>
        <v>-1013.435997614899</v>
      </c>
      <c r="K137" s="3">
        <f t="shared" ca="1" si="70"/>
        <v>-1175.3321766169627</v>
      </c>
    </row>
    <row r="138" spans="2:11" s="5" customFormat="1" x14ac:dyDescent="0.2">
      <c r="B138" s="9" t="s">
        <v>126</v>
      </c>
      <c r="C138" s="9"/>
      <c r="D138" s="9"/>
      <c r="E138" s="9">
        <f>E28</f>
        <v>4284</v>
      </c>
      <c r="F138" s="9"/>
      <c r="G138" s="9">
        <f ca="1">SUM(G135:G137)</f>
        <v>3739.3629065695477</v>
      </c>
      <c r="H138" s="9">
        <f t="shared" ref="H138:K138" ca="1" si="71">SUM(H135:H137)</f>
        <v>3067.4661380831808</v>
      </c>
      <c r="I138" s="9">
        <f t="shared" ca="1" si="71"/>
        <v>2222.8689054746583</v>
      </c>
      <c r="J138" s="9">
        <f t="shared" ca="1" si="71"/>
        <v>1187.2042188050127</v>
      </c>
      <c r="K138" s="9">
        <f t="shared" ca="1" si="71"/>
        <v>0</v>
      </c>
    </row>
    <row r="139" spans="2:11" x14ac:dyDescent="0.2">
      <c r="B139" s="3" t="s">
        <v>119</v>
      </c>
      <c r="F139" s="45"/>
      <c r="G139" s="45">
        <f t="shared" ref="G139:K139" si="72">$I$22</f>
        <v>0.08</v>
      </c>
      <c r="H139" s="45">
        <f t="shared" si="72"/>
        <v>0.08</v>
      </c>
      <c r="I139" s="45">
        <f t="shared" si="72"/>
        <v>0.08</v>
      </c>
      <c r="J139" s="45">
        <f t="shared" si="72"/>
        <v>0.08</v>
      </c>
      <c r="K139" s="45">
        <f t="shared" si="72"/>
        <v>0.08</v>
      </c>
    </row>
    <row r="140" spans="2:11" x14ac:dyDescent="0.2">
      <c r="B140" s="3" t="s">
        <v>120</v>
      </c>
      <c r="G140" s="3">
        <f t="shared" ref="G140:K140" ca="1" si="73">G139*(AVERAGE(G138,G135))</f>
        <v>320.93451626278193</v>
      </c>
      <c r="H140" s="3">
        <f t="shared" ca="1" si="73"/>
        <v>272.27316178610914</v>
      </c>
      <c r="I140" s="3">
        <f t="shared" ca="1" si="73"/>
        <v>211.61340174231358</v>
      </c>
      <c r="J140" s="3">
        <f t="shared" ca="1" si="73"/>
        <v>136.40292497118685</v>
      </c>
      <c r="K140" s="3">
        <f t="shared" ca="1" si="73"/>
        <v>47.488168752200508</v>
      </c>
    </row>
    <row r="142" spans="2:11" x14ac:dyDescent="0.2">
      <c r="B142" s="40" t="s">
        <v>127</v>
      </c>
      <c r="C142" s="40"/>
      <c r="D142" s="40"/>
      <c r="E142" s="40"/>
      <c r="F142" s="40"/>
      <c r="G142" s="40"/>
      <c r="H142" s="40"/>
      <c r="I142" s="40"/>
      <c r="J142" s="40"/>
      <c r="K142" s="40"/>
    </row>
    <row r="143" spans="2:11" x14ac:dyDescent="0.2">
      <c r="B143" s="3" t="s">
        <v>128</v>
      </c>
      <c r="G143" s="3">
        <f>E145</f>
        <v>2142</v>
      </c>
      <c r="H143" s="3">
        <f t="shared" ref="G143:K143" si="74">G145</f>
        <v>2356.1999999999998</v>
      </c>
      <c r="I143" s="3">
        <f t="shared" si="74"/>
        <v>2591.8199999999997</v>
      </c>
      <c r="J143" s="3">
        <f t="shared" si="74"/>
        <v>2851.0019999999995</v>
      </c>
      <c r="K143" s="3">
        <f t="shared" si="74"/>
        <v>3136.1021999999994</v>
      </c>
    </row>
    <row r="144" spans="2:11" x14ac:dyDescent="0.2">
      <c r="B144" s="3" t="s">
        <v>129</v>
      </c>
      <c r="G144" s="3">
        <f t="shared" ref="G144:K144" si="75">G146*G143</f>
        <v>214.20000000000002</v>
      </c>
      <c r="H144" s="3">
        <f t="shared" si="75"/>
        <v>235.62</v>
      </c>
      <c r="I144" s="3">
        <f t="shared" si="75"/>
        <v>259.18199999999996</v>
      </c>
      <c r="J144" s="3">
        <f t="shared" si="75"/>
        <v>285.10019999999997</v>
      </c>
      <c r="K144" s="3">
        <f t="shared" si="75"/>
        <v>313.61021999999997</v>
      </c>
    </row>
    <row r="145" spans="1:11" s="5" customFormat="1" x14ac:dyDescent="0.2">
      <c r="B145" s="9" t="s">
        <v>130</v>
      </c>
      <c r="C145" s="9"/>
      <c r="D145" s="9"/>
      <c r="E145" s="9">
        <f>E29</f>
        <v>2142</v>
      </c>
      <c r="F145" s="9"/>
      <c r="G145" s="9">
        <f t="shared" ref="G145:K145" si="76">SUM(G143:G144)</f>
        <v>2356.1999999999998</v>
      </c>
      <c r="H145" s="9">
        <f t="shared" si="76"/>
        <v>2591.8199999999997</v>
      </c>
      <c r="I145" s="9">
        <f t="shared" si="76"/>
        <v>2851.0019999999995</v>
      </c>
      <c r="J145" s="9">
        <f t="shared" si="76"/>
        <v>3136.1021999999994</v>
      </c>
      <c r="K145" s="9">
        <f t="shared" si="76"/>
        <v>3449.7124199999994</v>
      </c>
    </row>
    <row r="146" spans="1:11" x14ac:dyDescent="0.2">
      <c r="B146" s="3" t="s">
        <v>119</v>
      </c>
      <c r="F146" s="45"/>
      <c r="G146" s="45">
        <f t="shared" ref="G146:K146" si="77">$I$23</f>
        <v>0.1</v>
      </c>
      <c r="H146" s="45">
        <f t="shared" si="77"/>
        <v>0.1</v>
      </c>
      <c r="I146" s="45">
        <f t="shared" si="77"/>
        <v>0.1</v>
      </c>
      <c r="J146" s="45">
        <f t="shared" si="77"/>
        <v>0.1</v>
      </c>
      <c r="K146" s="45">
        <f t="shared" si="77"/>
        <v>0.1</v>
      </c>
    </row>
    <row r="148" spans="1:11" x14ac:dyDescent="0.2">
      <c r="B148" s="40" t="s">
        <v>132</v>
      </c>
      <c r="C148" s="40"/>
      <c r="D148" s="40"/>
      <c r="E148" s="40"/>
      <c r="F148" s="40"/>
      <c r="G148" s="40"/>
      <c r="H148" s="40"/>
      <c r="I148" s="40"/>
      <c r="J148" s="40"/>
      <c r="K148" s="40"/>
    </row>
    <row r="149" spans="1:11" x14ac:dyDescent="0.2">
      <c r="B149" s="3" t="s">
        <v>133</v>
      </c>
      <c r="G149" s="3">
        <f t="shared" ref="G149:K149" si="78">G129</f>
        <v>0</v>
      </c>
      <c r="H149" s="3">
        <f t="shared" si="78"/>
        <v>0</v>
      </c>
      <c r="I149" s="3">
        <f t="shared" si="78"/>
        <v>0</v>
      </c>
      <c r="J149" s="3">
        <f t="shared" si="78"/>
        <v>0</v>
      </c>
      <c r="K149" s="3">
        <f t="shared" si="78"/>
        <v>0</v>
      </c>
    </row>
    <row r="150" spans="1:11" x14ac:dyDescent="0.2">
      <c r="B150" s="3" t="s">
        <v>134</v>
      </c>
      <c r="G150" s="3">
        <f t="shared" ref="G150:K150" ca="1" si="79">G140</f>
        <v>320.93451626278193</v>
      </c>
      <c r="H150" s="3">
        <f t="shared" ca="1" si="79"/>
        <v>272.27316178610914</v>
      </c>
      <c r="I150" s="3">
        <f t="shared" ca="1" si="79"/>
        <v>211.61340174231358</v>
      </c>
      <c r="J150" s="3">
        <f t="shared" ca="1" si="79"/>
        <v>136.40292497118685</v>
      </c>
      <c r="K150" s="3">
        <f t="shared" ca="1" si="79"/>
        <v>47.488168752200508</v>
      </c>
    </row>
    <row r="151" spans="1:11" s="5" customFormat="1" x14ac:dyDescent="0.2">
      <c r="B151" s="9" t="s">
        <v>135</v>
      </c>
      <c r="C151" s="9"/>
      <c r="D151" s="9"/>
      <c r="E151" s="9"/>
      <c r="F151" s="9"/>
      <c r="G151" s="9">
        <f t="shared" ref="G151:K151" ca="1" si="80">SUM(G149:G150)</f>
        <v>320.93451626278193</v>
      </c>
      <c r="H151" s="9">
        <f t="shared" ca="1" si="80"/>
        <v>272.27316178610914</v>
      </c>
      <c r="I151" s="9">
        <f t="shared" ca="1" si="80"/>
        <v>211.61340174231358</v>
      </c>
      <c r="J151" s="9">
        <f t="shared" ca="1" si="80"/>
        <v>136.40292497118685</v>
      </c>
      <c r="K151" s="9">
        <f t="shared" ca="1" si="80"/>
        <v>47.488168752200508</v>
      </c>
    </row>
    <row r="152" spans="1:11" x14ac:dyDescent="0.2">
      <c r="B152" s="3" t="s">
        <v>136</v>
      </c>
      <c r="G152" s="3">
        <f t="shared" ref="G152:K152" si="81">G144</f>
        <v>214.20000000000002</v>
      </c>
      <c r="H152" s="3">
        <f t="shared" si="81"/>
        <v>235.62</v>
      </c>
      <c r="I152" s="3">
        <f t="shared" si="81"/>
        <v>259.18199999999996</v>
      </c>
      <c r="J152" s="3">
        <f t="shared" si="81"/>
        <v>285.10019999999997</v>
      </c>
      <c r="K152" s="3">
        <f t="shared" si="81"/>
        <v>313.61021999999997</v>
      </c>
    </row>
    <row r="153" spans="1:11" ht="13.5" thickBot="1" x14ac:dyDescent="0.25">
      <c r="B153" s="6" t="s">
        <v>137</v>
      </c>
      <c r="C153" s="6"/>
      <c r="D153" s="6"/>
      <c r="E153" s="6"/>
      <c r="F153" s="6"/>
      <c r="G153" s="6">
        <f t="shared" ref="G153:K153" ca="1" si="82">SUM(G151:G152)</f>
        <v>535.13451626278197</v>
      </c>
      <c r="H153" s="6">
        <f t="shared" ca="1" si="82"/>
        <v>507.89316178610915</v>
      </c>
      <c r="I153" s="6">
        <f t="shared" ca="1" si="82"/>
        <v>470.79540174231352</v>
      </c>
      <c r="J153" s="6">
        <f t="shared" ca="1" si="82"/>
        <v>421.50312497118682</v>
      </c>
      <c r="K153" s="6">
        <f t="shared" ca="1" si="82"/>
        <v>361.09838875220049</v>
      </c>
    </row>
    <row r="154" spans="1:11" ht="13.5" thickTop="1" x14ac:dyDescent="0.2"/>
    <row r="155" spans="1:11" x14ac:dyDescent="0.2">
      <c r="A155" s="3" t="s">
        <v>0</v>
      </c>
      <c r="B155" s="4" t="s">
        <v>138</v>
      </c>
      <c r="C155" s="4"/>
      <c r="D155" s="4"/>
      <c r="E155" s="22"/>
      <c r="F155" s="22"/>
      <c r="G155" s="23"/>
      <c r="H155" s="23"/>
      <c r="I155" s="23"/>
      <c r="J155" s="23"/>
      <c r="K155" s="23"/>
    </row>
    <row r="156" spans="1:11" x14ac:dyDescent="0.2">
      <c r="B156" s="40" t="s">
        <v>139</v>
      </c>
      <c r="C156" s="47"/>
      <c r="D156" s="47"/>
      <c r="E156" s="47"/>
      <c r="F156" s="47"/>
      <c r="G156" s="47"/>
      <c r="H156" s="47"/>
      <c r="I156" s="47"/>
      <c r="J156" s="47"/>
      <c r="K156" s="47"/>
    </row>
    <row r="157" spans="1:11" x14ac:dyDescent="0.2">
      <c r="B157" s="3" t="s">
        <v>140</v>
      </c>
      <c r="G157" s="3">
        <f t="shared" ref="G157:K157" si="83">G49</f>
        <v>1141.3224</v>
      </c>
      <c r="H157" s="3">
        <f t="shared" si="83"/>
        <v>1269.8972999999999</v>
      </c>
      <c r="I157" s="3">
        <f t="shared" si="83"/>
        <v>1420.1080092</v>
      </c>
      <c r="J157" s="3">
        <f t="shared" si="83"/>
        <v>1578.1884533820003</v>
      </c>
      <c r="K157" s="3">
        <f t="shared" si="83"/>
        <v>1744.4756270066403</v>
      </c>
    </row>
    <row r="158" spans="1:11" x14ac:dyDescent="0.2">
      <c r="B158" s="3" t="s">
        <v>141</v>
      </c>
      <c r="F158" s="14"/>
      <c r="G158" s="14">
        <f t="shared" ref="G158:K158" si="84">$E$6</f>
        <v>12</v>
      </c>
      <c r="H158" s="14">
        <f t="shared" si="84"/>
        <v>12</v>
      </c>
      <c r="I158" s="14">
        <f t="shared" si="84"/>
        <v>12</v>
      </c>
      <c r="J158" s="14">
        <f t="shared" si="84"/>
        <v>12</v>
      </c>
      <c r="K158" s="14">
        <f t="shared" si="84"/>
        <v>12</v>
      </c>
    </row>
    <row r="159" spans="1:11" s="5" customFormat="1" x14ac:dyDescent="0.2">
      <c r="B159" s="9" t="s">
        <v>142</v>
      </c>
      <c r="C159" s="9"/>
      <c r="D159" s="9"/>
      <c r="E159" s="9"/>
      <c r="F159" s="9"/>
      <c r="G159" s="9">
        <f t="shared" ref="G159:K159" si="85">G157*G158</f>
        <v>13695.8688</v>
      </c>
      <c r="H159" s="9">
        <f t="shared" si="85"/>
        <v>15238.767599999999</v>
      </c>
      <c r="I159" s="9">
        <f t="shared" si="85"/>
        <v>17041.296110399999</v>
      </c>
      <c r="J159" s="9">
        <f t="shared" si="85"/>
        <v>18938.261440584003</v>
      </c>
      <c r="K159" s="9">
        <f t="shared" si="85"/>
        <v>20933.707524079684</v>
      </c>
    </row>
    <row r="160" spans="1:11" x14ac:dyDescent="0.2">
      <c r="B160" s="3" t="s">
        <v>143</v>
      </c>
      <c r="G160" s="3">
        <f t="shared" ref="G160:K160" ca="1" si="86">-SUM(G77:G78)</f>
        <v>-6095.5629065695475</v>
      </c>
      <c r="H160" s="3">
        <f t="shared" ca="1" si="86"/>
        <v>-5659.286138083181</v>
      </c>
      <c r="I160" s="3">
        <f t="shared" ca="1" si="86"/>
        <v>-5073.8709054746578</v>
      </c>
      <c r="J160" s="3">
        <f t="shared" ca="1" si="86"/>
        <v>-4323.3064188050121</v>
      </c>
      <c r="K160" s="3">
        <f t="shared" ca="1" si="86"/>
        <v>-3449.7124199999994</v>
      </c>
    </row>
    <row r="161" spans="2:11" x14ac:dyDescent="0.2">
      <c r="B161" s="3" t="s">
        <v>144</v>
      </c>
      <c r="G161" s="3">
        <f t="shared" ref="G161:K161" ca="1" si="87">G66</f>
        <v>100</v>
      </c>
      <c r="H161" s="3">
        <f t="shared" ca="1" si="87"/>
        <v>100</v>
      </c>
      <c r="I161" s="3">
        <f t="shared" ca="1" si="87"/>
        <v>100</v>
      </c>
      <c r="J161" s="3">
        <f t="shared" ca="1" si="87"/>
        <v>100</v>
      </c>
      <c r="K161" s="3">
        <f t="shared" ca="1" si="87"/>
        <v>157.53268240409466</v>
      </c>
    </row>
    <row r="162" spans="2:11" ht="13.5" thickBot="1" x14ac:dyDescent="0.25">
      <c r="B162" s="6" t="s">
        <v>145</v>
      </c>
      <c r="C162" s="6"/>
      <c r="D162" s="6"/>
      <c r="E162" s="6"/>
      <c r="F162" s="6"/>
      <c r="G162" s="6">
        <f t="shared" ref="G162:K162" ca="1" si="88">SUM(G159:G161)</f>
        <v>7700.3058934304527</v>
      </c>
      <c r="H162" s="6">
        <f t="shared" ca="1" si="88"/>
        <v>9679.4814619168174</v>
      </c>
      <c r="I162" s="6">
        <f t="shared" ca="1" si="88"/>
        <v>12067.425204925341</v>
      </c>
      <c r="J162" s="6">
        <f t="shared" ca="1" si="88"/>
        <v>14714.955021778991</v>
      </c>
      <c r="K162" s="6">
        <f t="shared" ca="1" si="88"/>
        <v>17641.527786483777</v>
      </c>
    </row>
    <row r="163" spans="2:11" ht="13.5" thickTop="1" x14ac:dyDescent="0.2"/>
    <row r="164" spans="2:11" x14ac:dyDescent="0.2">
      <c r="B164" s="40" t="s">
        <v>146</v>
      </c>
      <c r="C164" s="47"/>
      <c r="D164" s="47"/>
      <c r="E164" s="47"/>
      <c r="F164" s="47"/>
      <c r="G164" s="47"/>
      <c r="H164" s="47"/>
      <c r="I164" s="47"/>
      <c r="J164" s="47"/>
      <c r="K164" s="47"/>
    </row>
    <row r="165" spans="2:11" x14ac:dyDescent="0.2">
      <c r="B165" s="39" t="s">
        <v>147</v>
      </c>
      <c r="C165" s="25"/>
      <c r="D165" s="25"/>
      <c r="E165" s="25"/>
      <c r="F165" s="39"/>
      <c r="G165" s="39">
        <f t="shared" ref="G165:K165" ca="1" si="89">G162</f>
        <v>7700.3058934304527</v>
      </c>
      <c r="H165" s="39">
        <f t="shared" ca="1" si="89"/>
        <v>9679.4814619168174</v>
      </c>
      <c r="I165" s="39">
        <f t="shared" ca="1" si="89"/>
        <v>12067.425204925341</v>
      </c>
      <c r="J165" s="39">
        <f t="shared" ca="1" si="89"/>
        <v>14714.955021778991</v>
      </c>
      <c r="K165" s="39">
        <f t="shared" ca="1" si="89"/>
        <v>17641.527786483777</v>
      </c>
    </row>
    <row r="166" spans="2:11" x14ac:dyDescent="0.2">
      <c r="B166" s="5" t="s">
        <v>148</v>
      </c>
      <c r="F166" s="5"/>
      <c r="G166" s="5">
        <f t="shared" ref="G166:K166" ca="1" si="90">G162</f>
        <v>7700.3058934304527</v>
      </c>
      <c r="H166" s="5">
        <f t="shared" ca="1" si="90"/>
        <v>9679.4814619168174</v>
      </c>
      <c r="I166" s="5">
        <f t="shared" ca="1" si="90"/>
        <v>12067.425204925341</v>
      </c>
      <c r="J166" s="5">
        <f t="shared" ca="1" si="90"/>
        <v>14714.955021778991</v>
      </c>
      <c r="K166" s="5">
        <f t="shared" ca="1" si="90"/>
        <v>17641.527786483777</v>
      </c>
    </row>
    <row r="167" spans="2:11" x14ac:dyDescent="0.2">
      <c r="B167" s="3" t="s">
        <v>149</v>
      </c>
      <c r="G167" s="3">
        <f t="shared" ref="G167:K167" si="91">-$J$28</f>
        <v>-12852</v>
      </c>
      <c r="H167" s="3">
        <f t="shared" si="91"/>
        <v>-12852</v>
      </c>
      <c r="I167" s="3">
        <f t="shared" si="91"/>
        <v>-12852</v>
      </c>
      <c r="J167" s="3">
        <f t="shared" si="91"/>
        <v>-12852</v>
      </c>
      <c r="K167" s="3">
        <f t="shared" si="91"/>
        <v>-12852</v>
      </c>
    </row>
    <row r="168" spans="2:11" s="5" customFormat="1" x14ac:dyDescent="0.2">
      <c r="B168" s="9" t="s">
        <v>150</v>
      </c>
      <c r="C168" s="9"/>
      <c r="D168" s="9"/>
      <c r="E168" s="9"/>
      <c r="F168" s="9"/>
      <c r="G168" s="9">
        <f t="shared" ref="G168:K168" ca="1" si="92">SUM(G166:G167)</f>
        <v>-5151.6941065695473</v>
      </c>
      <c r="H168" s="9">
        <f t="shared" ca="1" si="92"/>
        <v>-3172.5185380831826</v>
      </c>
      <c r="I168" s="9">
        <f t="shared" ca="1" si="92"/>
        <v>-784.57479507465905</v>
      </c>
      <c r="J168" s="9">
        <f t="shared" ca="1" si="92"/>
        <v>1862.9550217789911</v>
      </c>
      <c r="K168" s="9">
        <f t="shared" ca="1" si="92"/>
        <v>4789.5277864837772</v>
      </c>
    </row>
    <row r="169" spans="2:11" x14ac:dyDescent="0.2">
      <c r="B169" s="3" t="s">
        <v>151</v>
      </c>
      <c r="F169" s="16"/>
      <c r="G169" s="16">
        <f t="shared" ref="G169:K169" si="93">$E$9</f>
        <v>0.1</v>
      </c>
      <c r="H169" s="16">
        <f t="shared" si="93"/>
        <v>0.1</v>
      </c>
      <c r="I169" s="16">
        <f t="shared" si="93"/>
        <v>0.1</v>
      </c>
      <c r="J169" s="16">
        <f t="shared" si="93"/>
        <v>0.1</v>
      </c>
      <c r="K169" s="16">
        <f t="shared" si="93"/>
        <v>0.1</v>
      </c>
    </row>
    <row r="170" spans="2:11" ht="13.5" thickBot="1" x14ac:dyDescent="0.25">
      <c r="B170" s="6" t="s">
        <v>152</v>
      </c>
      <c r="C170" s="6"/>
      <c r="D170" s="6"/>
      <c r="E170" s="6"/>
      <c r="F170" s="6"/>
      <c r="G170" s="6">
        <f t="shared" ref="G170:K170" ca="1" si="94">G168*G169</f>
        <v>-515.16941065695471</v>
      </c>
      <c r="H170" s="6">
        <f t="shared" ca="1" si="94"/>
        <v>-317.25185380831829</v>
      </c>
      <c r="I170" s="6">
        <f t="shared" ca="1" si="94"/>
        <v>-78.457479507465905</v>
      </c>
      <c r="J170" s="6">
        <f t="shared" ca="1" si="94"/>
        <v>186.29550217789912</v>
      </c>
      <c r="K170" s="6">
        <f t="shared" ca="1" si="94"/>
        <v>478.95277864837772</v>
      </c>
    </row>
    <row r="171" spans="2:11" ht="13.5" thickTop="1" x14ac:dyDescent="0.2"/>
    <row r="172" spans="2:11" s="5" customFormat="1" x14ac:dyDescent="0.2">
      <c r="B172" s="39" t="s">
        <v>153</v>
      </c>
      <c r="C172" s="39"/>
      <c r="D172" s="39"/>
      <c r="E172" s="39"/>
      <c r="F172" s="39"/>
      <c r="G172" s="39">
        <f t="shared" ref="G172:K172" ca="1" si="95">G165-IF(G170&lt;0,0,G170)</f>
        <v>7700.3058934304527</v>
      </c>
      <c r="H172" s="39">
        <f t="shared" ca="1" si="95"/>
        <v>9679.4814619168174</v>
      </c>
      <c r="I172" s="39">
        <f t="shared" ca="1" si="95"/>
        <v>12067.425204925341</v>
      </c>
      <c r="J172" s="39">
        <f t="shared" ca="1" si="95"/>
        <v>14528.659519601091</v>
      </c>
      <c r="K172" s="39">
        <f t="shared" ca="1" si="95"/>
        <v>17162.575007835399</v>
      </c>
    </row>
    <row r="173" spans="2:11" x14ac:dyDescent="0.2">
      <c r="B173" s="3" t="s">
        <v>154</v>
      </c>
      <c r="F173" s="16"/>
      <c r="G173" s="16">
        <f t="shared" ref="G173:K173" si="96">$E31/($E$32+$E$31)</f>
        <v>0.52631858281832344</v>
      </c>
      <c r="H173" s="16">
        <f t="shared" si="96"/>
        <v>0.52631858281832344</v>
      </c>
      <c r="I173" s="16">
        <f t="shared" si="96"/>
        <v>0.52631858281832344</v>
      </c>
      <c r="J173" s="16">
        <f t="shared" si="96"/>
        <v>0.52631858281832344</v>
      </c>
      <c r="K173" s="16">
        <f t="shared" si="96"/>
        <v>0.52631858281832344</v>
      </c>
    </row>
    <row r="174" spans="2:11" x14ac:dyDescent="0.2">
      <c r="B174" s="3" t="s">
        <v>155</v>
      </c>
      <c r="F174" s="16"/>
      <c r="G174" s="16">
        <f t="shared" ref="G174:K174" si="97">$E32/($E$32+$E$31)</f>
        <v>0.47368141718167661</v>
      </c>
      <c r="H174" s="16">
        <f t="shared" si="97"/>
        <v>0.47368141718167661</v>
      </c>
      <c r="I174" s="16">
        <f t="shared" si="97"/>
        <v>0.47368141718167661</v>
      </c>
      <c r="J174" s="16">
        <f t="shared" si="97"/>
        <v>0.47368141718167661</v>
      </c>
      <c r="K174" s="16">
        <f t="shared" si="97"/>
        <v>0.47368141718167661</v>
      </c>
    </row>
    <row r="175" spans="2:11" ht="13.5" thickBot="1" x14ac:dyDescent="0.25"/>
    <row r="176" spans="2:11" x14ac:dyDescent="0.2">
      <c r="B176" s="48" t="s">
        <v>156</v>
      </c>
      <c r="C176" s="49"/>
      <c r="D176" s="49"/>
      <c r="E176" s="49"/>
      <c r="F176" s="53"/>
      <c r="G176" s="53">
        <f t="shared" ref="G176:K176" ca="1" si="98">G172*G173</f>
        <v>4052.8140850978998</v>
      </c>
      <c r="H176" s="53">
        <f t="shared" ca="1" si="98"/>
        <v>5094.4909654522926</v>
      </c>
      <c r="I176" s="53">
        <f t="shared" ca="1" si="98"/>
        <v>6351.3101321224221</v>
      </c>
      <c r="J176" s="53">
        <f t="shared" ca="1" si="98"/>
        <v>7646.7034886063902</v>
      </c>
      <c r="K176" s="54">
        <f t="shared" ca="1" si="98"/>
        <v>9032.9821556371044</v>
      </c>
    </row>
    <row r="177" spans="1:11" ht="13.5" thickBot="1" x14ac:dyDescent="0.25">
      <c r="B177" s="50" t="s">
        <v>157</v>
      </c>
      <c r="C177" s="51"/>
      <c r="D177" s="51"/>
      <c r="E177" s="51"/>
      <c r="F177" s="52"/>
      <c r="G177" s="52">
        <f t="shared" ref="G177:K177" ca="1" si="99">G172*G174</f>
        <v>3647.4918083325533</v>
      </c>
      <c r="H177" s="52">
        <f t="shared" ca="1" si="99"/>
        <v>4584.9904964645248</v>
      </c>
      <c r="I177" s="52">
        <f t="shared" ca="1" si="99"/>
        <v>5716.1150728029197</v>
      </c>
      <c r="J177" s="52">
        <f t="shared" ca="1" si="99"/>
        <v>6881.9560309947019</v>
      </c>
      <c r="K177" s="55">
        <f t="shared" ca="1" si="99"/>
        <v>8129.5928521982969</v>
      </c>
    </row>
    <row r="179" spans="1:11" x14ac:dyDescent="0.2">
      <c r="B179" s="40" t="s">
        <v>158</v>
      </c>
      <c r="C179" s="47"/>
      <c r="D179" s="47"/>
      <c r="E179" s="47"/>
      <c r="F179" s="47"/>
      <c r="G179" s="47"/>
      <c r="H179" s="47"/>
      <c r="I179" s="47"/>
      <c r="J179" s="47"/>
      <c r="K179" s="47"/>
    </row>
    <row r="180" spans="1:11" x14ac:dyDescent="0.2">
      <c r="F180" s="56">
        <f>F44</f>
        <v>46022</v>
      </c>
      <c r="G180" s="56">
        <f>EOMONTH(F180,12)</f>
        <v>46387</v>
      </c>
      <c r="H180" s="56">
        <f t="shared" ref="H180:K180" si="100">EOMONTH(G180,12)</f>
        <v>46752</v>
      </c>
      <c r="I180" s="56">
        <f t="shared" si="100"/>
        <v>47118</v>
      </c>
      <c r="J180" s="56">
        <f t="shared" si="100"/>
        <v>47483</v>
      </c>
      <c r="K180" s="56">
        <f t="shared" si="100"/>
        <v>47848</v>
      </c>
    </row>
    <row r="181" spans="1:11" x14ac:dyDescent="0.2">
      <c r="B181" s="3" t="s">
        <v>159</v>
      </c>
      <c r="F181" s="3">
        <f>-E31</f>
        <v>-3570.0400000000009</v>
      </c>
      <c r="K181" s="3">
        <f ca="1">K176</f>
        <v>9032.9821556371044</v>
      </c>
    </row>
    <row r="182" spans="1:11" ht="13.5" thickBot="1" x14ac:dyDescent="0.25"/>
    <row r="183" spans="1:11" x14ac:dyDescent="0.2">
      <c r="A183" s="3" t="s">
        <v>0</v>
      </c>
      <c r="B183" s="57" t="s">
        <v>160</v>
      </c>
      <c r="C183" s="58"/>
      <c r="D183" s="58"/>
      <c r="E183" s="58"/>
      <c r="F183" s="62">
        <f ca="1">K181/-F181</f>
        <v>2.5302187526294109</v>
      </c>
    </row>
    <row r="184" spans="1:11" ht="13.5" thickBot="1" x14ac:dyDescent="0.25">
      <c r="B184" s="59" t="s">
        <v>161</v>
      </c>
      <c r="C184" s="60"/>
      <c r="D184" s="60"/>
      <c r="E184" s="60"/>
      <c r="F184" s="61">
        <f ca="1">XIRR(F181:K181,F180:K180)</f>
        <v>0.20389179587364195</v>
      </c>
    </row>
    <row r="186" spans="1:11" x14ac:dyDescent="0.2">
      <c r="B186" s="40" t="s">
        <v>162</v>
      </c>
      <c r="C186" s="47"/>
      <c r="D186" s="47"/>
      <c r="E186" s="47"/>
      <c r="F186" s="47"/>
      <c r="G186" s="47"/>
      <c r="H186" s="47"/>
      <c r="I186" s="47"/>
      <c r="J186" s="47"/>
      <c r="K186" s="47"/>
    </row>
    <row r="188" spans="1:11" x14ac:dyDescent="0.2">
      <c r="B188" s="71" t="s">
        <v>163</v>
      </c>
      <c r="C188" s="72"/>
      <c r="D188" s="72"/>
      <c r="E188" s="72"/>
      <c r="F188" s="72"/>
      <c r="G188" s="72"/>
      <c r="H188" s="72"/>
      <c r="I188" s="73"/>
    </row>
    <row r="189" spans="1:11" x14ac:dyDescent="0.2">
      <c r="B189" s="43" t="s">
        <v>2</v>
      </c>
      <c r="C189" s="70" t="s">
        <v>3</v>
      </c>
      <c r="D189" s="70"/>
      <c r="E189" s="70"/>
      <c r="F189" s="70"/>
      <c r="G189" s="70"/>
      <c r="H189" s="70"/>
      <c r="I189" s="70"/>
    </row>
    <row r="190" spans="1:11" x14ac:dyDescent="0.2">
      <c r="B190" s="65">
        <f ca="1">F183</f>
        <v>2.5302187526294109</v>
      </c>
      <c r="C190" s="64">
        <f t="shared" ref="C190:D190" si="101">D190-1</f>
        <v>10</v>
      </c>
      <c r="D190" s="64">
        <f t="shared" si="101"/>
        <v>11</v>
      </c>
      <c r="E190" s="67">
        <v>12</v>
      </c>
      <c r="F190" s="64">
        <f t="shared" ref="F190:H190" si="102">E190+1</f>
        <v>13</v>
      </c>
      <c r="G190" s="64">
        <f t="shared" si="102"/>
        <v>14</v>
      </c>
      <c r="H190" s="64">
        <f t="shared" si="102"/>
        <v>15</v>
      </c>
    </row>
    <row r="191" spans="1:11" x14ac:dyDescent="0.2">
      <c r="B191" s="63">
        <f t="shared" ref="B191:B192" si="103">B192-1</f>
        <v>10</v>
      </c>
      <c r="C191" s="14">
        <f t="dataTable" ref="C191:H196" dt2D="1" dtr="1" r1="E5" r2="E6" ca="1"/>
        <v>2.9890594635973184</v>
      </c>
      <c r="D191" s="14">
        <v>2.4407320536126567</v>
      </c>
      <c r="E191" s="14">
        <v>2.067291196752997</v>
      </c>
      <c r="F191" s="14">
        <v>1.7965757181376967</v>
      </c>
      <c r="G191" s="14">
        <v>1.5819191649513324</v>
      </c>
      <c r="H191" s="14">
        <v>1.4112820716512082</v>
      </c>
    </row>
    <row r="192" spans="1:11" ht="13.5" thickBot="1" x14ac:dyDescent="0.25">
      <c r="B192" s="63">
        <f t="shared" si="103"/>
        <v>11</v>
      </c>
      <c r="C192" s="14">
        <v>3.3289203318734915</v>
      </c>
      <c r="D192" s="14">
        <v>2.7161113185045282</v>
      </c>
      <c r="E192" s="14">
        <v>2.2987549746912035</v>
      </c>
      <c r="F192" s="14">
        <v>1.9962041951148384</v>
      </c>
      <c r="G192" s="14">
        <v>1.7668158068699151</v>
      </c>
      <c r="H192" s="14">
        <v>1.5852395960057655</v>
      </c>
    </row>
    <row r="193" spans="2:9" ht="13.5" thickBot="1" x14ac:dyDescent="0.25">
      <c r="B193" s="68">
        <v>12</v>
      </c>
      <c r="C193" s="14">
        <v>3.6687812001496649</v>
      </c>
      <c r="D193" s="14">
        <v>2.9914905833964007</v>
      </c>
      <c r="E193" s="66">
        <v>2.5302187526294109</v>
      </c>
      <c r="F193" s="14">
        <v>2.1958326720919805</v>
      </c>
      <c r="G193" s="14">
        <v>1.9423073492571812</v>
      </c>
      <c r="H193" s="14">
        <v>1.7434761285294726</v>
      </c>
    </row>
    <row r="194" spans="2:9" x14ac:dyDescent="0.2">
      <c r="B194" s="63">
        <f t="shared" ref="B194:B196" si="104">B193+1</f>
        <v>13</v>
      </c>
      <c r="C194" s="14">
        <v>4.0086420684258375</v>
      </c>
      <c r="D194" s="14">
        <v>3.2668698482882723</v>
      </c>
      <c r="E194" s="14">
        <v>2.7616825305676178</v>
      </c>
      <c r="F194" s="14">
        <v>2.3954611490691224</v>
      </c>
      <c r="G194" s="14">
        <v>2.1177988916444463</v>
      </c>
      <c r="H194" s="14">
        <v>1.9000379004485737</v>
      </c>
    </row>
    <row r="195" spans="2:9" x14ac:dyDescent="0.2">
      <c r="B195" s="63">
        <f t="shared" si="104"/>
        <v>14</v>
      </c>
      <c r="C195" s="14">
        <v>4.3485029367020118</v>
      </c>
      <c r="D195" s="14">
        <v>3.5422491131801435</v>
      </c>
      <c r="E195" s="14">
        <v>2.9931463085058252</v>
      </c>
      <c r="F195" s="14">
        <v>2.5950896260462639</v>
      </c>
      <c r="G195" s="14">
        <v>2.2932904340317117</v>
      </c>
      <c r="H195" s="14">
        <v>2.0565996723676756</v>
      </c>
    </row>
    <row r="196" spans="2:9" x14ac:dyDescent="0.2">
      <c r="B196" s="63">
        <f t="shared" si="104"/>
        <v>15</v>
      </c>
      <c r="C196" s="14">
        <v>4.6883638049781853</v>
      </c>
      <c r="D196" s="14">
        <v>3.8176283780720159</v>
      </c>
      <c r="E196" s="14">
        <v>3.2246100864440321</v>
      </c>
      <c r="F196" s="14">
        <v>2.7947181030234058</v>
      </c>
      <c r="G196" s="14">
        <v>2.468781976418978</v>
      </c>
      <c r="H196" s="14">
        <v>2.2131614442867771</v>
      </c>
    </row>
    <row r="198" spans="2:9" x14ac:dyDescent="0.2">
      <c r="B198" s="71" t="s">
        <v>164</v>
      </c>
      <c r="C198" s="72"/>
      <c r="D198" s="72"/>
      <c r="E198" s="72"/>
      <c r="F198" s="72"/>
      <c r="G198" s="72"/>
      <c r="H198" s="72"/>
      <c r="I198" s="73"/>
    </row>
    <row r="199" spans="2:9" x14ac:dyDescent="0.2">
      <c r="B199" s="43" t="s">
        <v>2</v>
      </c>
      <c r="C199" s="70" t="s">
        <v>3</v>
      </c>
      <c r="D199" s="70"/>
      <c r="E199" s="70"/>
      <c r="F199" s="70"/>
      <c r="G199" s="70"/>
      <c r="H199" s="70"/>
      <c r="I199" s="70"/>
    </row>
    <row r="200" spans="2:9" x14ac:dyDescent="0.2">
      <c r="B200" s="65">
        <f ca="1">F184</f>
        <v>0.20389179587364195</v>
      </c>
      <c r="C200" s="64">
        <f t="shared" ref="C200" si="105">D200-1</f>
        <v>10</v>
      </c>
      <c r="D200" s="64">
        <f t="shared" ref="D200" si="106">E200-1</f>
        <v>11</v>
      </c>
      <c r="E200" s="67">
        <v>12</v>
      </c>
      <c r="F200" s="64">
        <f t="shared" ref="F200" si="107">E200+1</f>
        <v>13</v>
      </c>
      <c r="G200" s="64">
        <f t="shared" ref="G200" si="108">F200+1</f>
        <v>14</v>
      </c>
      <c r="H200" s="64">
        <f t="shared" ref="H200" si="109">G200+1</f>
        <v>15</v>
      </c>
    </row>
    <row r="201" spans="2:9" x14ac:dyDescent="0.2">
      <c r="B201" s="63">
        <f t="shared" ref="B201:B202" si="110">B202-1</f>
        <v>10</v>
      </c>
      <c r="C201" s="16">
        <f t="dataTable" ref="C201:H206" dt2D="1" dtr="1" r1="E5" r2="E6" ca="1"/>
        <v>0.24467173218727109</v>
      </c>
      <c r="D201" s="16">
        <v>0.19525777697563168</v>
      </c>
      <c r="E201" s="16">
        <v>0.15623412728309635</v>
      </c>
      <c r="F201" s="16">
        <v>0.12424569725990295</v>
      </c>
      <c r="G201" s="16">
        <v>9.6011325716972365E-2</v>
      </c>
      <c r="H201" s="16">
        <v>7.1288338303565998E-2</v>
      </c>
    </row>
    <row r="202" spans="2:9" ht="13.5" thickBot="1" x14ac:dyDescent="0.25">
      <c r="B202" s="63">
        <f t="shared" si="110"/>
        <v>11</v>
      </c>
      <c r="C202" s="16">
        <v>0.27175505757331853</v>
      </c>
      <c r="D202" s="16">
        <v>0.22107400298118587</v>
      </c>
      <c r="E202" s="16">
        <v>0.18102459311485294</v>
      </c>
      <c r="F202" s="16">
        <v>0.14817506670951844</v>
      </c>
      <c r="G202" s="16">
        <v>0.12049824595451353</v>
      </c>
      <c r="H202" s="16">
        <v>9.6470791101455705E-2</v>
      </c>
    </row>
    <row r="203" spans="2:9" ht="13.5" thickBot="1" x14ac:dyDescent="0.25">
      <c r="B203" s="68">
        <v>12</v>
      </c>
      <c r="C203" s="16">
        <v>0.29670901894569413</v>
      </c>
      <c r="D203" s="16">
        <v>0.24487401843070983</v>
      </c>
      <c r="E203" s="69">
        <v>0.20389179587364195</v>
      </c>
      <c r="F203" s="16">
        <v>0.1702601969242096</v>
      </c>
      <c r="G203" s="16">
        <v>0.14191035628318785</v>
      </c>
      <c r="H203" s="16">
        <v>0.11752374768257143</v>
      </c>
    </row>
    <row r="204" spans="2:9" x14ac:dyDescent="0.2">
      <c r="B204" s="63">
        <f t="shared" ref="B204:B206" si="111">B203+1</f>
        <v>13</v>
      </c>
      <c r="C204" s="16">
        <v>0.31987684369087233</v>
      </c>
      <c r="D204" s="16">
        <v>0.26698085665702831</v>
      </c>
      <c r="E204" s="16">
        <v>0.22514199614524844</v>
      </c>
      <c r="F204" s="16">
        <v>0.19079299569129946</v>
      </c>
      <c r="G204" s="16">
        <v>0.16182642579078677</v>
      </c>
      <c r="H204" s="16">
        <v>0.13689909577369688</v>
      </c>
    </row>
    <row r="205" spans="2:9" x14ac:dyDescent="0.2">
      <c r="B205" s="63">
        <f t="shared" si="111"/>
        <v>14</v>
      </c>
      <c r="C205" s="16">
        <v>0.3415227353572845</v>
      </c>
      <c r="D205" s="16">
        <v>0.28764355778694151</v>
      </c>
      <c r="E205" s="16">
        <v>0.24501171708106992</v>
      </c>
      <c r="F205" s="16">
        <v>0.20999928116798408</v>
      </c>
      <c r="G205" s="16">
        <v>0.18046286702156067</v>
      </c>
      <c r="H205" s="16">
        <v>0.155036348104477</v>
      </c>
    </row>
    <row r="206" spans="2:9" x14ac:dyDescent="0.2">
      <c r="B206" s="63">
        <f t="shared" si="111"/>
        <v>15</v>
      </c>
      <c r="C206" s="16">
        <v>0.36185466647148135</v>
      </c>
      <c r="D206" s="16">
        <v>0.30705844759941114</v>
      </c>
      <c r="E206" s="16">
        <v>0.26368767619132993</v>
      </c>
      <c r="F206" s="16">
        <v>0.22805753350257876</v>
      </c>
      <c r="G206" s="16">
        <v>0.19799100756645199</v>
      </c>
      <c r="H206" s="16">
        <v>0.17210044264793395</v>
      </c>
    </row>
    <row r="209" spans="2:11" x14ac:dyDescent="0.2">
      <c r="B209" s="5"/>
      <c r="C209" s="5"/>
      <c r="D209" s="5"/>
      <c r="E209" s="5"/>
      <c r="F209" s="5"/>
      <c r="G209" s="5"/>
      <c r="H209" s="5"/>
      <c r="I209" s="5"/>
      <c r="J209" s="5"/>
      <c r="K209" s="5"/>
    </row>
  </sheetData>
  <mergeCells count="4">
    <mergeCell ref="C189:I189"/>
    <mergeCell ref="B188:I188"/>
    <mergeCell ref="B198:I198"/>
    <mergeCell ref="C199:I19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Norrman</dc:creator>
  <cp:lastModifiedBy>Simon Norrman</cp:lastModifiedBy>
  <dcterms:created xsi:type="dcterms:W3CDTF">2026-07-19T17:10:27Z</dcterms:created>
  <dcterms:modified xsi:type="dcterms:W3CDTF">2026-07-26T19:39:01Z</dcterms:modified>
</cp:coreProperties>
</file>